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https://d.docs.live.net/0b47c733cef169d7/"/>
    </mc:Choice>
  </mc:AlternateContent>
  <xr:revisionPtr revIDLastSave="0" documentId="8_{D1D4727F-96B8-8E4A-BD77-BD78A4E13ECD}" xr6:coauthVersionLast="47" xr6:coauthVersionMax="47" xr10:uidLastSave="{00000000-0000-0000-0000-000000000000}"/>
  <bookViews>
    <workbookView xWindow="0" yWindow="600" windowWidth="28800" windowHeight="16080" xr2:uid="{00000000-000D-0000-FFFF-FFFF00000000}"/>
  </bookViews>
  <sheets>
    <sheet name="Food E-commerce Plant Based" sheetId="1" r:id="rId1"/>
    <sheet name="Città" sheetId="2" r:id="rId2"/>
    <sheet name="Pivot" sheetId="3" r:id="rId3"/>
  </sheets>
  <calcPr calcId="191029"/>
  <pivotCaches>
    <pivotCache cacheId="5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6" i="1" l="1"/>
  <c r="J15" i="1"/>
  <c r="J14" i="1"/>
  <c r="J13" i="1"/>
  <c r="J12" i="1"/>
  <c r="J11" i="1"/>
  <c r="J10" i="1"/>
  <c r="J7" i="1"/>
  <c r="J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" i="1"/>
</calcChain>
</file>

<file path=xl/sharedStrings.xml><?xml version="1.0" encoding="utf-8"?>
<sst xmlns="http://schemas.openxmlformats.org/spreadsheetml/2006/main" count="145" uniqueCount="62">
  <si>
    <t># Scontrino</t>
  </si>
  <si>
    <t>Provincia</t>
  </si>
  <si>
    <t>Mese</t>
  </si>
  <si>
    <t>Importo Scontrino</t>
  </si>
  <si>
    <t>Reparto</t>
  </si>
  <si>
    <t>Città</t>
  </si>
  <si>
    <t>Domanda</t>
  </si>
  <si>
    <t>Risposta</t>
  </si>
  <si>
    <t>Roma</t>
  </si>
  <si>
    <t>gennaio</t>
  </si>
  <si>
    <t>Dispensa</t>
  </si>
  <si>
    <t>Come si chiama questo foglio?</t>
  </si>
  <si>
    <t>Bevande</t>
  </si>
  <si>
    <t>Qual è una qualunque colonna non vuota in questo foglio?</t>
  </si>
  <si>
    <t>Qual è una qualunque riga non vuota in questo foglio?</t>
  </si>
  <si>
    <t>febbraio</t>
  </si>
  <si>
    <t>Banco frigo</t>
  </si>
  <si>
    <t>Qual è una qualunque cella non vuota in questo foglio?</t>
  </si>
  <si>
    <t>Rieti</t>
  </si>
  <si>
    <t>Vitamine e integratori</t>
  </si>
  <si>
    <t>Qual è il totale delle vendite considerando tutti i mesi? (usa una funzione per stabilirlo)</t>
  </si>
  <si>
    <t>marzo</t>
  </si>
  <si>
    <t>Qual è il totale delle vendite per il mese di giugno? (anche qui usa una funzione)</t>
  </si>
  <si>
    <t>Ordinate le righe in ordine dall’importo più alto al più basso. Qual è la provincia alla riga 15?</t>
  </si>
  <si>
    <t>aprile</t>
  </si>
  <si>
    <t>Usa la formattazione condizionale ed evidenzia tutti i valori maggiori di 100 nella colonna degli importi.</t>
  </si>
  <si>
    <t>Ortofrutticolo</t>
  </si>
  <si>
    <t>Quanti sono i valori evidenziati?</t>
  </si>
  <si>
    <t>Quante vendite sono state fatte a Latina? (numero delle vendite) (usa una funzione)</t>
  </si>
  <si>
    <t>Quante vendite sono state fatte a Roma ad aprile? (numero delle vendite) (usa una formula simile ma un po’ più complessa)</t>
  </si>
  <si>
    <t>Quanti prodotti da Dispensa (somma dell'importo) sono stati venduti a gennaio?</t>
  </si>
  <si>
    <t>Qual è l'importo medio di uno scontrino? (usa una funzione per calcolarlo)</t>
  </si>
  <si>
    <t>maggio</t>
  </si>
  <si>
    <t>Qual è l'importo medio di uno scontrino se consideriamo soltanto gli scontrini maggiori di €20? (puoi arrotondare il risultato a due cifre decimali)</t>
  </si>
  <si>
    <t>Qual è l'importo medio di uno scontrino se consideriamo soltanto gli scontrini minori di €106? (puoi arrotondare il risultato a due cifre decimali)</t>
  </si>
  <si>
    <t>giugno</t>
  </si>
  <si>
    <t>Come vedrai, la colonna Città è vuota. Abbiamo però aggiunto i dati relativi alle città nel secondo foglio. Usa una funzione per popolare la colonna Città con i dati provenienti dal secondo foglio.</t>
  </si>
  <si>
    <t>Latina</t>
  </si>
  <si>
    <t>Aggiungi una colonna a destra di Città e chiamala Importo. Aggiungi poi una funzione che ci dia un risultato per ogni riga così che ogni importo maggiore di €63,91 ci restituisca il valore “Alto”, e ciascun importo minore di questa cifra ci restituisca il valore “Basso”.</t>
  </si>
  <si>
    <t>Crea una Tabella Pivot ed aggiungila in un terzo foglio. Aggiungi i mesi nelle righe, i reparti nelle colonne e l’importo scontrino nei valori. Qual è il reparto che ha avuto più vendite? (lascia la tabella qui così saremo in grado di vederla)</t>
  </si>
  <si>
    <t>luglio</t>
  </si>
  <si>
    <t>Inserisci un grafico (quello che riteni più adatto) per visualizzare le vendite su base mensile</t>
  </si>
  <si>
    <t>Viterbo</t>
  </si>
  <si>
    <t>agosto</t>
  </si>
  <si>
    <t>Cereali</t>
  </si>
  <si>
    <t>Guardando il grafico, sai dire durante quale mese ci sono state più vendite?</t>
  </si>
  <si>
    <t>settembre</t>
  </si>
  <si>
    <t>Frosinone</t>
  </si>
  <si>
    <t>novembre</t>
  </si>
  <si>
    <t>dicembre</t>
  </si>
  <si>
    <t>Gaeta</t>
  </si>
  <si>
    <t>Tarquinia</t>
  </si>
  <si>
    <t>Food E-commerce Plant Based</t>
  </si>
  <si>
    <t>B</t>
  </si>
  <si>
    <t>Riga 2</t>
  </si>
  <si>
    <t>B2</t>
  </si>
  <si>
    <t>Importo</t>
  </si>
  <si>
    <t>Etichette di riga</t>
  </si>
  <si>
    <t>Totale complessivo</t>
  </si>
  <si>
    <t>Etichette di colonna</t>
  </si>
  <si>
    <t>Somma di Importo Scontrino</t>
  </si>
  <si>
    <t>Aprile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</si>
</sst>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€-2]\ #,##0.00"/>
    <numFmt numFmtId="165" formatCode="dd/mm/yyyy"/>
  </numFmts>
  <fonts count="4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Calibri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6" tint="0.79998168889431442"/>
        <bgColor indexed="64"/>
      </patternFill>
    </fill>
  </fills>
  <borders count="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9" fontId="2" fillId="0" borderId="0" xfId="0" applyNumberFormat="1" applyFont="1"/>
    <xf numFmtId="165" fontId="3" fillId="0" borderId="0" xfId="0" applyNumberFormat="1" applyFont="1"/>
    <xf numFmtId="164" fontId="3" fillId="0" borderId="0" xfId="0" applyNumberFormat="1" applyFont="1"/>
    <xf numFmtId="164" fontId="2" fillId="0" borderId="0" xfId="0" applyNumberFormat="1" applyFont="1"/>
    <xf numFmtId="164" fontId="2" fillId="2" borderId="0" xfId="0" applyNumberFormat="1" applyFont="1" applyFill="1"/>
    <xf numFmtId="2" fontId="2" fillId="0" borderId="0" xfId="0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1" fillId="0" borderId="1" xfId="0" applyFont="1" applyBorder="1"/>
    <xf numFmtId="0" fontId="2" fillId="0" borderId="1" xfId="0" applyFont="1" applyBorder="1" applyAlignment="1">
      <alignment horizontal="center"/>
    </xf>
    <xf numFmtId="0" fontId="3" fillId="0" borderId="3" xfId="0" applyFont="1" applyBorder="1" applyAlignment="1">
      <alignment horizontal="right"/>
    </xf>
    <xf numFmtId="0" fontId="3" fillId="0" borderId="3" xfId="0" applyFont="1" applyBorder="1"/>
    <xf numFmtId="165" fontId="3" fillId="0" borderId="3" xfId="0" applyNumberFormat="1" applyFont="1" applyBorder="1"/>
    <xf numFmtId="164" fontId="3" fillId="0" borderId="3" xfId="0" applyNumberFormat="1" applyFont="1" applyBorder="1" applyAlignment="1">
      <alignment horizontal="right"/>
    </xf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1" fillId="0" borderId="4" xfId="0" applyFont="1" applyBorder="1"/>
    <xf numFmtId="0" fontId="3" fillId="0" borderId="4" xfId="0" applyFont="1" applyBorder="1" applyAlignment="1">
      <alignment wrapText="1"/>
    </xf>
    <xf numFmtId="0" fontId="2" fillId="0" borderId="4" xfId="0" applyFont="1" applyBorder="1"/>
    <xf numFmtId="0" fontId="2" fillId="3" borderId="4" xfId="0" applyFont="1" applyFill="1" applyBorder="1"/>
    <xf numFmtId="164" fontId="2" fillId="3" borderId="4" xfId="0" applyNumberFormat="1" applyFont="1" applyFill="1" applyBorder="1"/>
    <xf numFmtId="0" fontId="3" fillId="0" borderId="4" xfId="0" applyFont="1" applyBorder="1" applyAlignment="1">
      <alignment horizontal="right"/>
    </xf>
  </cellXfs>
  <cellStyles count="1">
    <cellStyle name="Normale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- Food.xlsx]Pivot!Tabella pivot1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it-IT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Pivot!$B$3:$B$4</c:f>
              <c:strCache>
                <c:ptCount val="1"/>
                <c:pt idx="0">
                  <c:v>Banco frigo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Pivot!$A$5:$A$16</c:f>
              <c:strCache>
                <c:ptCount val="11"/>
                <c:pt idx="0">
                  <c:v>gennaio</c:v>
                </c:pt>
                <c:pt idx="1">
                  <c:v>febbraio</c:v>
                </c:pt>
                <c:pt idx="2">
                  <c:v>marzo</c:v>
                </c:pt>
                <c:pt idx="3">
                  <c:v>aprile</c:v>
                </c:pt>
                <c:pt idx="4">
                  <c:v>maggio</c:v>
                </c:pt>
                <c:pt idx="5">
                  <c:v>giugno</c:v>
                </c:pt>
                <c:pt idx="6">
                  <c:v>luglio</c:v>
                </c:pt>
                <c:pt idx="7">
                  <c:v>agosto</c:v>
                </c:pt>
                <c:pt idx="8">
                  <c:v>settembre</c:v>
                </c:pt>
                <c:pt idx="9">
                  <c:v>novembre</c:v>
                </c:pt>
                <c:pt idx="10">
                  <c:v>dicembre</c:v>
                </c:pt>
              </c:strCache>
            </c:strRef>
          </c:cat>
          <c:val>
            <c:numRef>
              <c:f>Pivot!$B$5:$B$16</c:f>
              <c:numCache>
                <c:formatCode>General</c:formatCode>
                <c:ptCount val="11"/>
                <c:pt idx="1">
                  <c:v>32.15</c:v>
                </c:pt>
                <c:pt idx="2">
                  <c:v>31.11</c:v>
                </c:pt>
                <c:pt idx="3">
                  <c:v>53.1</c:v>
                </c:pt>
                <c:pt idx="5">
                  <c:v>92.48</c:v>
                </c:pt>
                <c:pt idx="6">
                  <c:v>35.71</c:v>
                </c:pt>
                <c:pt idx="8">
                  <c:v>2.64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ED-8E44-88FB-D7F2D9668408}"/>
            </c:ext>
          </c:extLst>
        </c:ser>
        <c:ser>
          <c:idx val="1"/>
          <c:order val="1"/>
          <c:tx>
            <c:strRef>
              <c:f>Pivot!$C$3:$C$4</c:f>
              <c:strCache>
                <c:ptCount val="1"/>
                <c:pt idx="0">
                  <c:v>Bevande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Pivot!$A$5:$A$16</c:f>
              <c:strCache>
                <c:ptCount val="11"/>
                <c:pt idx="0">
                  <c:v>gennaio</c:v>
                </c:pt>
                <c:pt idx="1">
                  <c:v>febbraio</c:v>
                </c:pt>
                <c:pt idx="2">
                  <c:v>marzo</c:v>
                </c:pt>
                <c:pt idx="3">
                  <c:v>aprile</c:v>
                </c:pt>
                <c:pt idx="4">
                  <c:v>maggio</c:v>
                </c:pt>
                <c:pt idx="5">
                  <c:v>giugno</c:v>
                </c:pt>
                <c:pt idx="6">
                  <c:v>luglio</c:v>
                </c:pt>
                <c:pt idx="7">
                  <c:v>agosto</c:v>
                </c:pt>
                <c:pt idx="8">
                  <c:v>settembre</c:v>
                </c:pt>
                <c:pt idx="9">
                  <c:v>novembre</c:v>
                </c:pt>
                <c:pt idx="10">
                  <c:v>dicembre</c:v>
                </c:pt>
              </c:strCache>
            </c:strRef>
          </c:cat>
          <c:val>
            <c:numRef>
              <c:f>Pivot!$C$5:$C$16</c:f>
              <c:numCache>
                <c:formatCode>General</c:formatCode>
                <c:ptCount val="11"/>
                <c:pt idx="0">
                  <c:v>38.04</c:v>
                </c:pt>
                <c:pt idx="3">
                  <c:v>92.42</c:v>
                </c:pt>
                <c:pt idx="4">
                  <c:v>23.31</c:v>
                </c:pt>
                <c:pt idx="5">
                  <c:v>35.130000000000003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EED-8E44-88FB-D7F2D9668408}"/>
            </c:ext>
          </c:extLst>
        </c:ser>
        <c:ser>
          <c:idx val="2"/>
          <c:order val="2"/>
          <c:tx>
            <c:strRef>
              <c:f>Pivot!$D$3:$D$4</c:f>
              <c:strCache>
                <c:ptCount val="1"/>
                <c:pt idx="0">
                  <c:v>Cereali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Pivot!$A$5:$A$16</c:f>
              <c:strCache>
                <c:ptCount val="11"/>
                <c:pt idx="0">
                  <c:v>gennaio</c:v>
                </c:pt>
                <c:pt idx="1">
                  <c:v>febbraio</c:v>
                </c:pt>
                <c:pt idx="2">
                  <c:v>marzo</c:v>
                </c:pt>
                <c:pt idx="3">
                  <c:v>aprile</c:v>
                </c:pt>
                <c:pt idx="4">
                  <c:v>maggio</c:v>
                </c:pt>
                <c:pt idx="5">
                  <c:v>giugno</c:v>
                </c:pt>
                <c:pt idx="6">
                  <c:v>luglio</c:v>
                </c:pt>
                <c:pt idx="7">
                  <c:v>agosto</c:v>
                </c:pt>
                <c:pt idx="8">
                  <c:v>settembre</c:v>
                </c:pt>
                <c:pt idx="9">
                  <c:v>novembre</c:v>
                </c:pt>
                <c:pt idx="10">
                  <c:v>dicembre</c:v>
                </c:pt>
              </c:strCache>
            </c:strRef>
          </c:cat>
          <c:val>
            <c:numRef>
              <c:f>Pivot!$D$5:$D$16</c:f>
              <c:numCache>
                <c:formatCode>General</c:formatCode>
                <c:ptCount val="11"/>
                <c:pt idx="7">
                  <c:v>113.1</c:v>
                </c:pt>
                <c:pt idx="8">
                  <c:v>99.64</c:v>
                </c:pt>
                <c:pt idx="10">
                  <c:v>139.11000000000001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EED-8E44-88FB-D7F2D9668408}"/>
            </c:ext>
          </c:extLst>
        </c:ser>
        <c:ser>
          <c:idx val="3"/>
          <c:order val="3"/>
          <c:tx>
            <c:strRef>
              <c:f>Pivot!$E$3:$E$4</c:f>
              <c:strCache>
                <c:ptCount val="1"/>
                <c:pt idx="0">
                  <c:v>Dispensa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Pivot!$A$5:$A$16</c:f>
              <c:strCache>
                <c:ptCount val="11"/>
                <c:pt idx="0">
                  <c:v>gennaio</c:v>
                </c:pt>
                <c:pt idx="1">
                  <c:v>febbraio</c:v>
                </c:pt>
                <c:pt idx="2">
                  <c:v>marzo</c:v>
                </c:pt>
                <c:pt idx="3">
                  <c:v>aprile</c:v>
                </c:pt>
                <c:pt idx="4">
                  <c:v>maggio</c:v>
                </c:pt>
                <c:pt idx="5">
                  <c:v>giugno</c:v>
                </c:pt>
                <c:pt idx="6">
                  <c:v>luglio</c:v>
                </c:pt>
                <c:pt idx="7">
                  <c:v>agosto</c:v>
                </c:pt>
                <c:pt idx="8">
                  <c:v>settembre</c:v>
                </c:pt>
                <c:pt idx="9">
                  <c:v>novembre</c:v>
                </c:pt>
                <c:pt idx="10">
                  <c:v>dicembre</c:v>
                </c:pt>
              </c:strCache>
            </c:strRef>
          </c:cat>
          <c:val>
            <c:numRef>
              <c:f>Pivot!$E$5:$E$16</c:f>
              <c:numCache>
                <c:formatCode>General</c:formatCode>
                <c:ptCount val="11"/>
                <c:pt idx="0">
                  <c:v>250.85</c:v>
                </c:pt>
                <c:pt idx="3">
                  <c:v>108</c:v>
                </c:pt>
                <c:pt idx="4">
                  <c:v>140.12</c:v>
                </c:pt>
                <c:pt idx="5">
                  <c:v>52.16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EED-8E44-88FB-D7F2D9668408}"/>
            </c:ext>
          </c:extLst>
        </c:ser>
        <c:ser>
          <c:idx val="4"/>
          <c:order val="4"/>
          <c:tx>
            <c:strRef>
              <c:f>Pivot!$F$3:$F$4</c:f>
              <c:strCache>
                <c:ptCount val="1"/>
                <c:pt idx="0">
                  <c:v>Ortofrutticolo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Pivot!$A$5:$A$16</c:f>
              <c:strCache>
                <c:ptCount val="11"/>
                <c:pt idx="0">
                  <c:v>gennaio</c:v>
                </c:pt>
                <c:pt idx="1">
                  <c:v>febbraio</c:v>
                </c:pt>
                <c:pt idx="2">
                  <c:v>marzo</c:v>
                </c:pt>
                <c:pt idx="3">
                  <c:v>aprile</c:v>
                </c:pt>
                <c:pt idx="4">
                  <c:v>maggio</c:v>
                </c:pt>
                <c:pt idx="5">
                  <c:v>giugno</c:v>
                </c:pt>
                <c:pt idx="6">
                  <c:v>luglio</c:v>
                </c:pt>
                <c:pt idx="7">
                  <c:v>agosto</c:v>
                </c:pt>
                <c:pt idx="8">
                  <c:v>settembre</c:v>
                </c:pt>
                <c:pt idx="9">
                  <c:v>novembre</c:v>
                </c:pt>
                <c:pt idx="10">
                  <c:v>dicembre</c:v>
                </c:pt>
              </c:strCache>
            </c:strRef>
          </c:cat>
          <c:val>
            <c:numRef>
              <c:f>Pivot!$F$5:$F$16</c:f>
              <c:numCache>
                <c:formatCode>General</c:formatCode>
                <c:ptCount val="11"/>
                <c:pt idx="3">
                  <c:v>47.7</c:v>
                </c:pt>
                <c:pt idx="9">
                  <c:v>66.98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EED-8E44-88FB-D7F2D9668408}"/>
            </c:ext>
          </c:extLst>
        </c:ser>
        <c:ser>
          <c:idx val="5"/>
          <c:order val="5"/>
          <c:tx>
            <c:strRef>
              <c:f>Pivot!$G$3:$G$4</c:f>
              <c:strCache>
                <c:ptCount val="1"/>
                <c:pt idx="0">
                  <c:v>Vitamine e integratori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Pivot!$A$5:$A$16</c:f>
              <c:strCache>
                <c:ptCount val="11"/>
                <c:pt idx="0">
                  <c:v>gennaio</c:v>
                </c:pt>
                <c:pt idx="1">
                  <c:v>febbraio</c:v>
                </c:pt>
                <c:pt idx="2">
                  <c:v>marzo</c:v>
                </c:pt>
                <c:pt idx="3">
                  <c:v>aprile</c:v>
                </c:pt>
                <c:pt idx="4">
                  <c:v>maggio</c:v>
                </c:pt>
                <c:pt idx="5">
                  <c:v>giugno</c:v>
                </c:pt>
                <c:pt idx="6">
                  <c:v>luglio</c:v>
                </c:pt>
                <c:pt idx="7">
                  <c:v>agosto</c:v>
                </c:pt>
                <c:pt idx="8">
                  <c:v>settembre</c:v>
                </c:pt>
                <c:pt idx="9">
                  <c:v>novembre</c:v>
                </c:pt>
                <c:pt idx="10">
                  <c:v>dicembre</c:v>
                </c:pt>
              </c:strCache>
            </c:strRef>
          </c:cat>
          <c:val>
            <c:numRef>
              <c:f>Pivot!$G$5:$G$16</c:f>
              <c:numCache>
                <c:formatCode>General</c:formatCode>
                <c:ptCount val="11"/>
                <c:pt idx="1">
                  <c:v>52.47</c:v>
                </c:pt>
                <c:pt idx="2">
                  <c:v>10.3</c:v>
                </c:pt>
                <c:pt idx="3">
                  <c:v>26.03</c:v>
                </c:pt>
                <c:pt idx="7">
                  <c:v>55.1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EED-8E44-88FB-D7F2D96684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199214527"/>
        <c:axId val="1247569535"/>
      </c:barChart>
      <c:catAx>
        <c:axId val="1199214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247569535"/>
        <c:crosses val="autoZero"/>
        <c:auto val="1"/>
        <c:lblAlgn val="ctr"/>
        <c:lblOffset val="100"/>
        <c:noMultiLvlLbl val="0"/>
      </c:catAx>
      <c:valAx>
        <c:axId val="12475695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it-IT"/>
          </a:p>
        </c:txPr>
        <c:crossAx val="1199214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it-IT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it-IT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18</xdr:row>
      <xdr:rowOff>0</xdr:rowOff>
    </xdr:from>
    <xdr:to>
      <xdr:col>7</xdr:col>
      <xdr:colOff>1054100</xdr:colOff>
      <xdr:row>41</xdr:row>
      <xdr:rowOff>76200</xdr:rowOff>
    </xdr:to>
    <xdr:graphicFrame macro="">
      <xdr:nvGraphicFramePr>
        <xdr:cNvPr id="3" name="Grafico 2">
          <a:extLst>
            <a:ext uri="{FF2B5EF4-FFF2-40B4-BE49-F238E27FC236}">
              <a16:creationId xmlns:a16="http://schemas.microsoft.com/office/drawing/2014/main" id="{656BCF28-B335-3A9D-2D09-0823EF8F68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renzo D'Angeli" refreshedDate="46205.736394444444" createdVersion="8" refreshedVersion="8" minRefreshableVersion="3" recordCount="25" xr:uid="{6606E324-450A-4C49-8941-C11329DAB593}">
  <cacheSource type="worksheet">
    <worksheetSource ref="A1:G26" sheet="Food E-commerce Plant Based"/>
  </cacheSource>
  <cacheFields count="7">
    <cacheField name="# Scontrino" numFmtId="0">
      <sharedItems containsSemiMixedTypes="0" containsString="0" containsNumber="1" containsInteger="1" minValue="1" maxValue="25"/>
    </cacheField>
    <cacheField name="Provincia" numFmtId="0">
      <sharedItems/>
    </cacheField>
    <cacheField name="Mese" numFmtId="0">
      <sharedItems count="11">
        <s v="gennaio"/>
        <s v="maggio"/>
        <s v="dicembre"/>
        <s v="agosto"/>
        <s v="aprile"/>
        <s v="settembre"/>
        <s v="giugno"/>
        <s v="novembre"/>
        <s v="febbraio"/>
        <s v="luglio"/>
        <s v="marzo"/>
      </sharedItems>
    </cacheField>
    <cacheField name="Importo Scontrino" numFmtId="164">
      <sharedItems containsSemiMixedTypes="0" containsString="0" containsNumber="1" minValue="2.64" maxValue="140.69999999999999"/>
    </cacheField>
    <cacheField name="Reparto" numFmtId="0">
      <sharedItems count="6">
        <s v="Dispensa"/>
        <s v="Cereali"/>
        <s v="Banco frigo"/>
        <s v="Bevande"/>
        <s v="Ortofrutticolo"/>
        <s v="Vitamine e integratori"/>
      </sharedItems>
    </cacheField>
    <cacheField name="Città" numFmtId="0">
      <sharedItems/>
    </cacheField>
    <cacheField name="Import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">
  <r>
    <n v="3"/>
    <s v="Roma"/>
    <x v="0"/>
    <n v="140.69999999999999"/>
    <x v="0"/>
    <s v="Roma"/>
    <s v="Alto"/>
  </r>
  <r>
    <n v="14"/>
    <s v="Roma"/>
    <x v="1"/>
    <n v="140.12"/>
    <x v="0"/>
    <s v="Roma"/>
    <s v="Alto"/>
  </r>
  <r>
    <n v="25"/>
    <s v="Frosinone"/>
    <x v="2"/>
    <n v="139.11000000000001"/>
    <x v="1"/>
    <s v="Frosinone"/>
    <s v="Alto"/>
  </r>
  <r>
    <n v="20"/>
    <s v="Viterbo"/>
    <x v="3"/>
    <n v="113.1"/>
    <x v="1"/>
    <s v="Tarquinia"/>
    <s v="Alto"/>
  </r>
  <r>
    <n v="1"/>
    <s v="Roma"/>
    <x v="0"/>
    <n v="110.15"/>
    <x v="0"/>
    <s v="Roma"/>
    <s v="Alto"/>
  </r>
  <r>
    <n v="10"/>
    <s v="Roma"/>
    <x v="4"/>
    <n v="108"/>
    <x v="0"/>
    <s v="Roma"/>
    <s v="Alto"/>
  </r>
  <r>
    <n v="23"/>
    <s v="Frosinone"/>
    <x v="5"/>
    <n v="99.64"/>
    <x v="1"/>
    <s v="Frosinone"/>
    <s v="Alto"/>
  </r>
  <r>
    <n v="16"/>
    <s v="Roma"/>
    <x v="6"/>
    <n v="92.48"/>
    <x v="2"/>
    <s v="Roma"/>
    <s v="Alto"/>
  </r>
  <r>
    <n v="12"/>
    <s v="Roma"/>
    <x v="4"/>
    <n v="92.42"/>
    <x v="3"/>
    <s v="Roma"/>
    <s v="Alto"/>
  </r>
  <r>
    <n v="24"/>
    <s v="Roma"/>
    <x v="7"/>
    <n v="66.98"/>
    <x v="4"/>
    <s v="Roma"/>
    <s v="Alto"/>
  </r>
  <r>
    <n v="21"/>
    <s v="Roma"/>
    <x v="3"/>
    <n v="55.1"/>
    <x v="5"/>
    <s v="Roma"/>
    <s v="Basso"/>
  </r>
  <r>
    <n v="11"/>
    <s v="Roma"/>
    <x v="4"/>
    <n v="53.1"/>
    <x v="2"/>
    <s v="Roma"/>
    <s v="Basso"/>
  </r>
  <r>
    <n v="5"/>
    <s v="Rieti"/>
    <x v="8"/>
    <n v="52.47"/>
    <x v="5"/>
    <s v="Rieti"/>
    <s v="Basso"/>
  </r>
  <r>
    <n v="18"/>
    <s v="Latina"/>
    <x v="6"/>
    <n v="52.16"/>
    <x v="0"/>
    <s v="Gaeta"/>
    <s v="Basso"/>
  </r>
  <r>
    <n v="9"/>
    <s v="Roma"/>
    <x v="4"/>
    <n v="47.7"/>
    <x v="4"/>
    <s v="Roma"/>
    <s v="Basso"/>
  </r>
  <r>
    <n v="2"/>
    <s v="Roma"/>
    <x v="0"/>
    <n v="38.04"/>
    <x v="3"/>
    <s v="Roma"/>
    <s v="Basso"/>
  </r>
  <r>
    <n v="19"/>
    <s v="Roma"/>
    <x v="9"/>
    <n v="35.71"/>
    <x v="2"/>
    <s v="Roma"/>
    <s v="Basso"/>
  </r>
  <r>
    <n v="17"/>
    <s v="Latina"/>
    <x v="6"/>
    <n v="35.130000000000003"/>
    <x v="3"/>
    <s v="Gaeta"/>
    <s v="Basso"/>
  </r>
  <r>
    <n v="4"/>
    <s v="Roma"/>
    <x v="8"/>
    <n v="32.15"/>
    <x v="2"/>
    <s v="Roma"/>
    <s v="Basso"/>
  </r>
  <r>
    <n v="6"/>
    <s v="Roma"/>
    <x v="10"/>
    <n v="31.11"/>
    <x v="2"/>
    <s v="Roma"/>
    <s v="Basso"/>
  </r>
  <r>
    <n v="15"/>
    <s v="Roma"/>
    <x v="1"/>
    <n v="23.31"/>
    <x v="3"/>
    <s v="Roma"/>
    <s v="Basso"/>
  </r>
  <r>
    <n v="8"/>
    <s v="Roma"/>
    <x v="4"/>
    <n v="14.03"/>
    <x v="5"/>
    <s v="Roma"/>
    <s v="Basso"/>
  </r>
  <r>
    <n v="13"/>
    <s v="Roma"/>
    <x v="4"/>
    <n v="12"/>
    <x v="5"/>
    <s v="Roma"/>
    <s v="Basso"/>
  </r>
  <r>
    <n v="7"/>
    <s v="Roma"/>
    <x v="10"/>
    <n v="10.3"/>
    <x v="5"/>
    <s v="Roma"/>
    <s v="Basso"/>
  </r>
  <r>
    <n v="22"/>
    <s v="Roma"/>
    <x v="5"/>
    <n v="2.64"/>
    <x v="2"/>
    <s v="Roma"/>
    <s v="Bass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244E9B-9475-5B4B-AEF2-1DF7DAB92185}" name="Tabella pivot1" cacheId="5" applyNumberFormats="0" applyBorderFormats="0" applyFontFormats="0" applyPatternFormats="0" applyAlignmentFormats="0" applyWidthHeightFormats="1" dataCaption="Valori" updatedVersion="8" minRefreshableVersion="3" useAutoFormatting="1" itemPrintTitles="1" createdVersion="8" indent="0" outline="1" outlineData="1" multipleFieldFilters="0" chartFormat="4">
  <location ref="A3:H16" firstHeaderRow="1" firstDataRow="2" firstDataCol="1"/>
  <pivotFields count="7">
    <pivotField showAll="0"/>
    <pivotField showAll="0"/>
    <pivotField axis="axisRow" showAll="0">
      <items count="12">
        <item x="0"/>
        <item x="8"/>
        <item x="10"/>
        <item x="4"/>
        <item x="1"/>
        <item x="6"/>
        <item x="9"/>
        <item x="3"/>
        <item x="5"/>
        <item x="7"/>
        <item x="2"/>
        <item t="default"/>
      </items>
    </pivotField>
    <pivotField dataField="1" numFmtId="164" showAll="0"/>
    <pivotField axis="axisCol" showAll="0">
      <items count="7">
        <item x="2"/>
        <item x="3"/>
        <item x="1"/>
        <item x="0"/>
        <item x="4"/>
        <item x="5"/>
        <item t="default"/>
      </items>
    </pivotField>
    <pivotField showAll="0"/>
    <pivotField showAll="0"/>
  </pivotFields>
  <rowFields count="1">
    <field x="2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4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omma di Importo Scontrino" fld="3" baseField="0" baseItem="0"/>
  </dataFields>
  <chartFormats count="1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2" format="3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2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2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4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D1000"/>
  <sheetViews>
    <sheetView tabSelected="1" workbookViewId="0">
      <selection activeCell="I21" sqref="I21"/>
    </sheetView>
  </sheetViews>
  <sheetFormatPr baseColWidth="10" defaultColWidth="12.6640625" defaultRowHeight="15.75" customHeight="1" x14ac:dyDescent="0.15"/>
  <cols>
    <col min="1" max="1" width="11" customWidth="1"/>
    <col min="4" max="4" width="15.6640625" customWidth="1"/>
    <col min="5" max="5" width="17.6640625" customWidth="1"/>
    <col min="6" max="6" width="7.6640625" bestFit="1" customWidth="1"/>
    <col min="7" max="7" width="7.6640625" customWidth="1"/>
    <col min="8" max="8" width="4.1640625" customWidth="1"/>
    <col min="9" max="9" width="50.83203125" customWidth="1"/>
    <col min="10" max="10" width="20.83203125" customWidth="1"/>
  </cols>
  <sheetData>
    <row r="1" spans="1:3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4" t="s">
        <v>56</v>
      </c>
      <c r="H1" s="24"/>
      <c r="I1" s="22" t="s">
        <v>6</v>
      </c>
      <c r="J1" s="22" t="s">
        <v>7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</row>
    <row r="2" spans="1:30" x14ac:dyDescent="0.2">
      <c r="A2" s="3">
        <v>3</v>
      </c>
      <c r="B2" s="4" t="s">
        <v>8</v>
      </c>
      <c r="C2" s="4" t="s">
        <v>9</v>
      </c>
      <c r="D2" s="5">
        <v>140.69999999999999</v>
      </c>
      <c r="E2" s="4" t="s">
        <v>10</v>
      </c>
      <c r="F2" s="2" t="str">
        <f>_xlfn.XLOOKUP(B2,Città!A$2:A$6,Città!B$2:B$6)</f>
        <v>Roma</v>
      </c>
      <c r="G2" s="15" t="str">
        <f>IF(D2&gt;63.91,"Alto","Basso")</f>
        <v>Alto</v>
      </c>
      <c r="H2" s="27">
        <v>1</v>
      </c>
      <c r="I2" s="23" t="s">
        <v>11</v>
      </c>
      <c r="J2" s="25" t="s">
        <v>52</v>
      </c>
      <c r="K2" s="6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spans="1:30" x14ac:dyDescent="0.2">
      <c r="A3" s="3">
        <v>14</v>
      </c>
      <c r="B3" s="4" t="s">
        <v>8</v>
      </c>
      <c r="C3" s="7" t="s">
        <v>32</v>
      </c>
      <c r="D3" s="5">
        <v>140.12</v>
      </c>
      <c r="E3" s="4" t="s">
        <v>10</v>
      </c>
      <c r="F3" s="2" t="str">
        <f>_xlfn.XLOOKUP(B3,Città!A$2:A$6,Città!B$2:B$6)</f>
        <v>Roma</v>
      </c>
      <c r="G3" s="15" t="str">
        <f t="shared" ref="G3:G26" si="0">IF(D3&gt;63.91,"Alto","Basso")</f>
        <v>Alto</v>
      </c>
      <c r="H3" s="27">
        <v>2</v>
      </c>
      <c r="I3" s="23" t="s">
        <v>13</v>
      </c>
      <c r="J3" s="25" t="s">
        <v>53</v>
      </c>
      <c r="K3" s="6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2">
      <c r="A4" s="3">
        <v>25</v>
      </c>
      <c r="B4" s="4" t="s">
        <v>47</v>
      </c>
      <c r="C4" s="7" t="s">
        <v>49</v>
      </c>
      <c r="D4" s="5">
        <v>139.11000000000001</v>
      </c>
      <c r="E4" s="4" t="s">
        <v>44</v>
      </c>
      <c r="F4" s="2" t="str">
        <f>_xlfn.XLOOKUP(B4,Città!A$2:A$6,Città!B$2:B$6)</f>
        <v>Frosinone</v>
      </c>
      <c r="G4" s="15" t="str">
        <f t="shared" si="0"/>
        <v>Alto</v>
      </c>
      <c r="H4" s="27">
        <v>3</v>
      </c>
      <c r="I4" s="23" t="s">
        <v>14</v>
      </c>
      <c r="J4" s="25" t="s">
        <v>54</v>
      </c>
      <c r="K4" s="6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</row>
    <row r="5" spans="1:30" x14ac:dyDescent="0.2">
      <c r="A5" s="3">
        <v>20</v>
      </c>
      <c r="B5" s="4" t="s">
        <v>42</v>
      </c>
      <c r="C5" s="7" t="s">
        <v>43</v>
      </c>
      <c r="D5" s="5">
        <v>113.1</v>
      </c>
      <c r="E5" s="4" t="s">
        <v>44</v>
      </c>
      <c r="F5" s="2" t="str">
        <f>_xlfn.XLOOKUP(B5,Città!A$2:A$6,Città!B$2:B$6)</f>
        <v>Tarquinia</v>
      </c>
      <c r="G5" s="15" t="str">
        <f t="shared" si="0"/>
        <v>Alto</v>
      </c>
      <c r="H5" s="27">
        <v>4</v>
      </c>
      <c r="I5" s="23" t="s">
        <v>17</v>
      </c>
      <c r="J5" s="25" t="s">
        <v>55</v>
      </c>
      <c r="K5" s="6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</row>
    <row r="6" spans="1:30" x14ac:dyDescent="0.2">
      <c r="A6" s="3">
        <v>1</v>
      </c>
      <c r="B6" s="4" t="s">
        <v>8</v>
      </c>
      <c r="C6" s="4" t="s">
        <v>9</v>
      </c>
      <c r="D6" s="5">
        <v>110.15</v>
      </c>
      <c r="E6" s="4" t="s">
        <v>10</v>
      </c>
      <c r="F6" s="2" t="str">
        <f>_xlfn.XLOOKUP(B6,Città!A$2:A$6,Città!B$2:B$6)</f>
        <v>Roma</v>
      </c>
      <c r="G6" s="15" t="str">
        <f t="shared" si="0"/>
        <v>Alto</v>
      </c>
      <c r="H6" s="27">
        <v>5</v>
      </c>
      <c r="I6" s="23" t="s">
        <v>20</v>
      </c>
      <c r="J6" s="26">
        <f>SUM(D2:D26)</f>
        <v>1597.65</v>
      </c>
      <c r="K6" s="9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</row>
    <row r="7" spans="1:30" x14ac:dyDescent="0.2">
      <c r="A7" s="3">
        <v>10</v>
      </c>
      <c r="B7" s="4" t="s">
        <v>8</v>
      </c>
      <c r="C7" s="7" t="s">
        <v>24</v>
      </c>
      <c r="D7" s="5">
        <v>108</v>
      </c>
      <c r="E7" s="4" t="s">
        <v>10</v>
      </c>
      <c r="F7" s="2" t="str">
        <f>_xlfn.XLOOKUP(B7,Città!A$2:A$6,Città!B$2:B$6)</f>
        <v>Roma</v>
      </c>
      <c r="G7" s="15" t="str">
        <f t="shared" si="0"/>
        <v>Alto</v>
      </c>
      <c r="H7" s="27">
        <v>6</v>
      </c>
      <c r="I7" s="23" t="s">
        <v>22</v>
      </c>
      <c r="J7" s="26">
        <f>SUMIF(C2:C26,"giugno",D2:D26)</f>
        <v>179.76999999999998</v>
      </c>
      <c r="K7" s="9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</row>
    <row r="8" spans="1:30" x14ac:dyDescent="0.2">
      <c r="A8" s="3">
        <v>23</v>
      </c>
      <c r="B8" s="4" t="s">
        <v>47</v>
      </c>
      <c r="C8" s="7" t="s">
        <v>46</v>
      </c>
      <c r="D8" s="5">
        <v>99.64</v>
      </c>
      <c r="E8" s="4" t="s">
        <v>44</v>
      </c>
      <c r="F8" s="2" t="str">
        <f>_xlfn.XLOOKUP(B8,Città!A$2:A$6,Città!B$2:B$6)</f>
        <v>Frosinone</v>
      </c>
      <c r="G8" s="15" t="str">
        <f t="shared" si="0"/>
        <v>Alto</v>
      </c>
      <c r="H8" s="27">
        <v>7</v>
      </c>
      <c r="I8" s="23" t="s">
        <v>23</v>
      </c>
      <c r="J8" s="25" t="s">
        <v>37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1:30" x14ac:dyDescent="0.2">
      <c r="A9" s="3">
        <v>16</v>
      </c>
      <c r="B9" s="4" t="s">
        <v>8</v>
      </c>
      <c r="C9" s="7" t="s">
        <v>35</v>
      </c>
      <c r="D9" s="5">
        <v>92.48</v>
      </c>
      <c r="E9" s="4" t="s">
        <v>16</v>
      </c>
      <c r="F9" s="2" t="str">
        <f>_xlfn.XLOOKUP(B9,Città!A$2:A$6,Città!B$2:B$6)</f>
        <v>Roma</v>
      </c>
      <c r="G9" s="15" t="str">
        <f t="shared" si="0"/>
        <v>Alto</v>
      </c>
      <c r="H9" s="27">
        <v>8</v>
      </c>
      <c r="I9" s="23" t="s">
        <v>25</v>
      </c>
      <c r="J9" s="25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</row>
    <row r="10" spans="1:30" x14ac:dyDescent="0.2">
      <c r="A10" s="3">
        <v>12</v>
      </c>
      <c r="B10" s="4" t="s">
        <v>8</v>
      </c>
      <c r="C10" s="7" t="s">
        <v>24</v>
      </c>
      <c r="D10" s="5">
        <v>92.42</v>
      </c>
      <c r="E10" s="4" t="s">
        <v>12</v>
      </c>
      <c r="F10" s="2" t="str">
        <f>_xlfn.XLOOKUP(B10,Città!A$2:A$6,Città!B$2:B$6)</f>
        <v>Roma</v>
      </c>
      <c r="G10" s="15" t="str">
        <f t="shared" si="0"/>
        <v>Alto</v>
      </c>
      <c r="H10" s="27">
        <v>9</v>
      </c>
      <c r="I10" s="23" t="s">
        <v>27</v>
      </c>
      <c r="J10" s="25">
        <f>COUNTIF(D2:D26,"&gt;100")</f>
        <v>6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</row>
    <row r="11" spans="1:30" x14ac:dyDescent="0.2">
      <c r="A11" s="3">
        <v>24</v>
      </c>
      <c r="B11" s="4" t="s">
        <v>8</v>
      </c>
      <c r="C11" s="7" t="s">
        <v>48</v>
      </c>
      <c r="D11" s="5">
        <v>66.98</v>
      </c>
      <c r="E11" s="4" t="s">
        <v>26</v>
      </c>
      <c r="F11" s="2" t="str">
        <f>_xlfn.XLOOKUP(B11,Città!A$2:A$6,Città!B$2:B$6)</f>
        <v>Roma</v>
      </c>
      <c r="G11" s="15" t="str">
        <f t="shared" si="0"/>
        <v>Alto</v>
      </c>
      <c r="H11" s="27">
        <v>10</v>
      </c>
      <c r="I11" s="23" t="s">
        <v>28</v>
      </c>
      <c r="J11" s="25">
        <f>COUNTIF(B2:B26,"Latina")</f>
        <v>2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</row>
    <row r="12" spans="1:30" x14ac:dyDescent="0.2">
      <c r="A12" s="3">
        <v>21</v>
      </c>
      <c r="B12" s="4" t="s">
        <v>8</v>
      </c>
      <c r="C12" s="7" t="s">
        <v>43</v>
      </c>
      <c r="D12" s="5">
        <v>55.1</v>
      </c>
      <c r="E12" s="4" t="s">
        <v>19</v>
      </c>
      <c r="F12" s="2" t="str">
        <f>_xlfn.XLOOKUP(B12,Città!A$2:A$6,Città!B$2:B$6)</f>
        <v>Roma</v>
      </c>
      <c r="G12" s="15" t="str">
        <f t="shared" si="0"/>
        <v>Basso</v>
      </c>
      <c r="H12" s="27">
        <v>11</v>
      </c>
      <c r="I12" s="23" t="s">
        <v>29</v>
      </c>
      <c r="J12" s="25">
        <f>COUNTIFS(B2:B26,"Roma",C2:C26,"aprile")</f>
        <v>6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</row>
    <row r="13" spans="1:30" x14ac:dyDescent="0.2">
      <c r="A13" s="3">
        <v>11</v>
      </c>
      <c r="B13" s="4" t="s">
        <v>8</v>
      </c>
      <c r="C13" s="7" t="s">
        <v>24</v>
      </c>
      <c r="D13" s="5">
        <v>53.1</v>
      </c>
      <c r="E13" s="4" t="s">
        <v>16</v>
      </c>
      <c r="F13" s="2" t="str">
        <f>_xlfn.XLOOKUP(B13,Città!A$2:A$6,Città!B$2:B$6)</f>
        <v>Roma</v>
      </c>
      <c r="G13" s="15" t="str">
        <f t="shared" si="0"/>
        <v>Basso</v>
      </c>
      <c r="H13" s="27">
        <v>12</v>
      </c>
      <c r="I13" s="23" t="s">
        <v>30</v>
      </c>
      <c r="J13" s="26">
        <f>SUMIFS(D2:D26,E2:E26,"Dispensa",C2:C26,"gennaio")</f>
        <v>250.85</v>
      </c>
      <c r="K13" s="9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</row>
    <row r="14" spans="1:30" x14ac:dyDescent="0.2">
      <c r="A14" s="3">
        <v>5</v>
      </c>
      <c r="B14" s="4" t="s">
        <v>18</v>
      </c>
      <c r="C14" s="7" t="s">
        <v>15</v>
      </c>
      <c r="D14" s="5">
        <v>52.47</v>
      </c>
      <c r="E14" s="4" t="s">
        <v>19</v>
      </c>
      <c r="F14" s="2" t="str">
        <f>_xlfn.XLOOKUP(B14,Città!A$2:A$6,Città!B$2:B$6)</f>
        <v>Rieti</v>
      </c>
      <c r="G14" s="15" t="str">
        <f t="shared" si="0"/>
        <v>Basso</v>
      </c>
      <c r="H14" s="27">
        <v>13</v>
      </c>
      <c r="I14" s="23" t="s">
        <v>31</v>
      </c>
      <c r="J14" s="26">
        <f>AVERAGE(D2:D26)</f>
        <v>63.906000000000006</v>
      </c>
      <c r="K14" s="9"/>
      <c r="L14" s="2"/>
      <c r="M14" s="2"/>
      <c r="N14" s="2"/>
      <c r="O14" s="9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</row>
    <row r="15" spans="1:30" x14ac:dyDescent="0.2">
      <c r="A15" s="3">
        <v>18</v>
      </c>
      <c r="B15" s="4" t="s">
        <v>37</v>
      </c>
      <c r="C15" s="7" t="s">
        <v>35</v>
      </c>
      <c r="D15" s="5">
        <v>52.16</v>
      </c>
      <c r="E15" s="4" t="s">
        <v>10</v>
      </c>
      <c r="F15" s="2" t="str">
        <f>_xlfn.XLOOKUP(B15,Città!A$2:A$6,Città!B$2:B$6)</f>
        <v>Gaeta</v>
      </c>
      <c r="G15" s="15" t="str">
        <f t="shared" si="0"/>
        <v>Basso</v>
      </c>
      <c r="H15" s="27">
        <v>14</v>
      </c>
      <c r="I15" s="23" t="s">
        <v>33</v>
      </c>
      <c r="J15" s="26">
        <f>AVERAGEIF(D2:D26,"&gt;20")</f>
        <v>74.222857142857151</v>
      </c>
      <c r="K15" s="9"/>
      <c r="L15" s="10"/>
      <c r="M15" s="2"/>
      <c r="N15" s="2"/>
      <c r="O15" s="9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</row>
    <row r="16" spans="1:30" x14ac:dyDescent="0.2">
      <c r="A16" s="3">
        <v>9</v>
      </c>
      <c r="B16" s="4" t="s">
        <v>8</v>
      </c>
      <c r="C16" s="7" t="s">
        <v>24</v>
      </c>
      <c r="D16" s="5">
        <v>47.7</v>
      </c>
      <c r="E16" s="4" t="s">
        <v>26</v>
      </c>
      <c r="F16" s="2" t="str">
        <f>_xlfn.XLOOKUP(B16,Città!A$2:A$6,Città!B$2:B$6)</f>
        <v>Roma</v>
      </c>
      <c r="G16" s="15" t="str">
        <f t="shared" si="0"/>
        <v>Basso</v>
      </c>
      <c r="H16" s="27">
        <v>15</v>
      </c>
      <c r="I16" s="23" t="s">
        <v>34</v>
      </c>
      <c r="J16" s="26">
        <f>AVERAGEIF(D2:D26,"&lt;106")</f>
        <v>44.551052631578941</v>
      </c>
      <c r="K16" s="9"/>
      <c r="L16" s="9"/>
      <c r="M16" s="2"/>
      <c r="N16" s="2"/>
      <c r="O16" s="9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</row>
    <row r="17" spans="1:30" x14ac:dyDescent="0.2">
      <c r="A17" s="3">
        <v>2</v>
      </c>
      <c r="B17" s="4" t="s">
        <v>8</v>
      </c>
      <c r="C17" s="4" t="s">
        <v>9</v>
      </c>
      <c r="D17" s="5">
        <v>38.04</v>
      </c>
      <c r="E17" s="4" t="s">
        <v>12</v>
      </c>
      <c r="F17" s="2" t="str">
        <f>_xlfn.XLOOKUP(B17,Città!A$2:A$6,Città!B$2:B$6)</f>
        <v>Roma</v>
      </c>
      <c r="G17" s="15" t="str">
        <f t="shared" si="0"/>
        <v>Basso</v>
      </c>
      <c r="H17" s="27">
        <v>16</v>
      </c>
      <c r="I17" s="23" t="s">
        <v>36</v>
      </c>
      <c r="J17" s="25"/>
      <c r="K17" s="2"/>
      <c r="L17" s="2"/>
      <c r="M17" s="2"/>
      <c r="N17" s="2"/>
      <c r="O17" s="9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</row>
    <row r="18" spans="1:30" x14ac:dyDescent="0.2">
      <c r="A18" s="3">
        <v>19</v>
      </c>
      <c r="B18" s="4" t="s">
        <v>8</v>
      </c>
      <c r="C18" s="7" t="s">
        <v>40</v>
      </c>
      <c r="D18" s="5">
        <v>35.71</v>
      </c>
      <c r="E18" s="4" t="s">
        <v>16</v>
      </c>
      <c r="F18" s="2" t="str">
        <f>_xlfn.XLOOKUP(B18,Città!A$2:A$6,Città!B$2:B$6)</f>
        <v>Roma</v>
      </c>
      <c r="G18" s="15" t="str">
        <f t="shared" si="0"/>
        <v>Basso</v>
      </c>
      <c r="H18" s="27">
        <v>17</v>
      </c>
      <c r="I18" s="23" t="s">
        <v>38</v>
      </c>
      <c r="J18" s="25"/>
      <c r="K18" s="2"/>
      <c r="L18" s="2"/>
      <c r="M18" s="2"/>
      <c r="N18" s="2"/>
      <c r="O18" s="9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</row>
    <row r="19" spans="1:30" x14ac:dyDescent="0.2">
      <c r="A19" s="3">
        <v>17</v>
      </c>
      <c r="B19" s="4" t="s">
        <v>37</v>
      </c>
      <c r="C19" s="7" t="s">
        <v>35</v>
      </c>
      <c r="D19" s="5">
        <v>35.130000000000003</v>
      </c>
      <c r="E19" s="4" t="s">
        <v>12</v>
      </c>
      <c r="F19" s="2" t="str">
        <f>_xlfn.XLOOKUP(B19,Città!A$2:A$6,Città!B$2:B$6)</f>
        <v>Gaeta</v>
      </c>
      <c r="G19" s="15" t="str">
        <f t="shared" si="0"/>
        <v>Basso</v>
      </c>
      <c r="H19" s="27">
        <v>18</v>
      </c>
      <c r="I19" s="23" t="s">
        <v>39</v>
      </c>
      <c r="J19" s="25" t="s">
        <v>10</v>
      </c>
      <c r="K19" s="2"/>
      <c r="L19" s="2"/>
      <c r="M19" s="2"/>
      <c r="N19" s="2"/>
      <c r="O19" s="9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</row>
    <row r="20" spans="1:30" x14ac:dyDescent="0.2">
      <c r="A20" s="3">
        <v>4</v>
      </c>
      <c r="B20" s="4" t="s">
        <v>8</v>
      </c>
      <c r="C20" s="7" t="s">
        <v>15</v>
      </c>
      <c r="D20" s="5">
        <v>32.15</v>
      </c>
      <c r="E20" s="8" t="s">
        <v>16</v>
      </c>
      <c r="F20" s="2" t="str">
        <f>_xlfn.XLOOKUP(B20,Città!A$2:A$6,Città!B$2:B$6)</f>
        <v>Roma</v>
      </c>
      <c r="G20" s="15" t="str">
        <f t="shared" si="0"/>
        <v>Basso</v>
      </c>
      <c r="H20" s="27">
        <v>19</v>
      </c>
      <c r="I20" s="23" t="s">
        <v>41</v>
      </c>
      <c r="J20" s="25"/>
      <c r="K20" s="2"/>
      <c r="L20" s="2"/>
      <c r="M20" s="2"/>
      <c r="N20" s="2"/>
      <c r="O20" s="9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</row>
    <row r="21" spans="1:30" x14ac:dyDescent="0.2">
      <c r="A21" s="3">
        <v>6</v>
      </c>
      <c r="B21" s="4" t="s">
        <v>8</v>
      </c>
      <c r="C21" s="7" t="s">
        <v>21</v>
      </c>
      <c r="D21" s="5">
        <v>31.11</v>
      </c>
      <c r="E21" s="4" t="s">
        <v>16</v>
      </c>
      <c r="F21" s="2" t="str">
        <f>_xlfn.XLOOKUP(B21,Città!A$2:A$6,Città!B$2:B$6)</f>
        <v>Roma</v>
      </c>
      <c r="G21" s="15" t="str">
        <f t="shared" si="0"/>
        <v>Basso</v>
      </c>
      <c r="H21" s="27">
        <v>20</v>
      </c>
      <c r="I21" s="23" t="s">
        <v>45</v>
      </c>
      <c r="J21" s="25" t="s">
        <v>61</v>
      </c>
      <c r="K21" s="2"/>
      <c r="L21" s="2"/>
      <c r="M21" s="2"/>
      <c r="N21" s="2"/>
      <c r="O21" s="9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</row>
    <row r="22" spans="1:30" x14ac:dyDescent="0.2">
      <c r="A22" s="3">
        <v>15</v>
      </c>
      <c r="B22" s="4" t="s">
        <v>8</v>
      </c>
      <c r="C22" s="7" t="s">
        <v>32</v>
      </c>
      <c r="D22" s="5">
        <v>23.31</v>
      </c>
      <c r="E22" s="4" t="s">
        <v>12</v>
      </c>
      <c r="F22" s="2" t="str">
        <f>_xlfn.XLOOKUP(B22,Città!A$2:A$6,Città!B$2:B$6)</f>
        <v>Roma</v>
      </c>
      <c r="G22" s="15" t="str">
        <f t="shared" si="0"/>
        <v>Basso</v>
      </c>
      <c r="H22" s="2"/>
      <c r="I22" s="2"/>
      <c r="J22" s="2"/>
      <c r="K22" s="2"/>
      <c r="L22" s="2"/>
      <c r="M22" s="2"/>
      <c r="N22" s="2"/>
      <c r="O22" s="9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</row>
    <row r="23" spans="1:30" x14ac:dyDescent="0.2">
      <c r="A23" s="3">
        <v>8</v>
      </c>
      <c r="B23" s="4" t="s">
        <v>8</v>
      </c>
      <c r="C23" s="7" t="s">
        <v>24</v>
      </c>
      <c r="D23" s="5">
        <v>14.03</v>
      </c>
      <c r="E23" s="4" t="s">
        <v>19</v>
      </c>
      <c r="F23" s="2" t="str">
        <f>_xlfn.XLOOKUP(B23,Città!A$2:A$6,Città!B$2:B$6)</f>
        <v>Roma</v>
      </c>
      <c r="G23" s="15" t="str">
        <f t="shared" si="0"/>
        <v>Basso</v>
      </c>
      <c r="H23" s="2"/>
      <c r="I23" s="2"/>
      <c r="J23" s="2"/>
      <c r="K23" s="2"/>
      <c r="L23" s="2"/>
      <c r="M23" s="2"/>
      <c r="N23" s="2"/>
      <c r="O23" s="9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</row>
    <row r="24" spans="1:30" x14ac:dyDescent="0.2">
      <c r="A24" s="3">
        <v>13</v>
      </c>
      <c r="B24" s="4" t="s">
        <v>8</v>
      </c>
      <c r="C24" s="7" t="s">
        <v>24</v>
      </c>
      <c r="D24" s="5">
        <v>12</v>
      </c>
      <c r="E24" s="4" t="s">
        <v>19</v>
      </c>
      <c r="F24" s="2" t="str">
        <f>_xlfn.XLOOKUP(B24,Città!A$2:A$6,Città!B$2:B$6)</f>
        <v>Roma</v>
      </c>
      <c r="G24" s="15" t="str">
        <f t="shared" si="0"/>
        <v>Basso</v>
      </c>
      <c r="H24" s="2"/>
      <c r="I24" s="2"/>
      <c r="J24" s="2"/>
      <c r="K24" s="2"/>
      <c r="L24" s="2"/>
      <c r="M24" s="2"/>
      <c r="N24" s="2"/>
      <c r="O24" s="9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</row>
    <row r="25" spans="1:30" x14ac:dyDescent="0.2">
      <c r="A25" s="3">
        <v>7</v>
      </c>
      <c r="B25" s="4" t="s">
        <v>8</v>
      </c>
      <c r="C25" s="7" t="s">
        <v>21</v>
      </c>
      <c r="D25" s="5">
        <v>10.3</v>
      </c>
      <c r="E25" s="4" t="s">
        <v>19</v>
      </c>
      <c r="F25" s="2" t="str">
        <f>_xlfn.XLOOKUP(B25,Città!A$2:A$6,Città!B$2:B$6)</f>
        <v>Roma</v>
      </c>
      <c r="G25" s="15" t="str">
        <f t="shared" si="0"/>
        <v>Basso</v>
      </c>
      <c r="H25" s="2"/>
      <c r="I25" s="2"/>
      <c r="J25" s="2"/>
      <c r="K25" s="2"/>
      <c r="L25" s="2"/>
      <c r="M25" s="2"/>
      <c r="N25" s="2"/>
      <c r="O25" s="9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</row>
    <row r="26" spans="1:30" x14ac:dyDescent="0.2">
      <c r="A26" s="16">
        <v>22</v>
      </c>
      <c r="B26" s="17" t="s">
        <v>8</v>
      </c>
      <c r="C26" s="18" t="s">
        <v>46</v>
      </c>
      <c r="D26" s="19">
        <v>2.64</v>
      </c>
      <c r="E26" s="17" t="s">
        <v>16</v>
      </c>
      <c r="F26" s="20" t="str">
        <f>_xlfn.XLOOKUP(B26,Città!A$2:A$6,Città!B$2:B$6)</f>
        <v>Roma</v>
      </c>
      <c r="G26" s="21" t="str">
        <f t="shared" si="0"/>
        <v>Basso</v>
      </c>
      <c r="H26" s="2"/>
      <c r="I26" s="2"/>
      <c r="J26" s="2"/>
      <c r="K26" s="2"/>
      <c r="L26" s="2"/>
      <c r="M26" s="2"/>
      <c r="N26" s="2"/>
      <c r="O26" s="9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</row>
    <row r="27" spans="1:30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9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</row>
    <row r="28" spans="1:30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9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</row>
    <row r="29" spans="1:30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9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</row>
    <row r="30" spans="1:30" x14ac:dyDescent="0.2">
      <c r="A30" s="2"/>
      <c r="B30" s="2"/>
      <c r="C30" s="2"/>
      <c r="D30" s="2"/>
      <c r="E30" s="2"/>
      <c r="F30" s="2"/>
      <c r="G30" s="2"/>
      <c r="H30" s="2"/>
      <c r="I30" s="9"/>
      <c r="J30" s="2"/>
      <c r="K30" s="2"/>
      <c r="L30" s="2"/>
      <c r="M30" s="2"/>
      <c r="N30" s="2"/>
      <c r="O30" s="9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</row>
    <row r="31" spans="1:30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9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</row>
    <row r="32" spans="1:30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9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</row>
    <row r="33" spans="1:30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9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</row>
    <row r="34" spans="1:30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9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</row>
    <row r="35" spans="1:30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9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</row>
    <row r="36" spans="1:30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9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</row>
    <row r="37" spans="1:30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9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</row>
    <row r="38" spans="1:30" x14ac:dyDescent="0.2">
      <c r="A38" s="2"/>
      <c r="B38" s="2"/>
      <c r="C38" s="2"/>
      <c r="D38" s="2"/>
      <c r="E38" s="2"/>
      <c r="F38" s="2"/>
      <c r="G38" s="2"/>
      <c r="H38" s="2"/>
      <c r="I38" s="9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</row>
    <row r="39" spans="1:30" x14ac:dyDescent="0.2">
      <c r="A39" s="2"/>
      <c r="B39" s="2"/>
      <c r="C39" s="2"/>
      <c r="D39" s="2"/>
      <c r="E39" s="2"/>
      <c r="F39" s="2"/>
      <c r="G39" s="2"/>
      <c r="H39" s="2"/>
      <c r="I39" s="11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</row>
    <row r="40" spans="1:30" x14ac:dyDescent="0.2">
      <c r="A40" s="2"/>
      <c r="B40" s="2"/>
      <c r="C40" s="2"/>
      <c r="D40" s="2"/>
      <c r="E40" s="2"/>
      <c r="F40" s="2"/>
      <c r="G40" s="2"/>
      <c r="H40" s="2"/>
      <c r="I40" s="11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</row>
    <row r="41" spans="1:30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</row>
    <row r="42" spans="1:30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</row>
    <row r="43" spans="1:30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</row>
    <row r="44" spans="1:30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</row>
    <row r="45" spans="1:30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</row>
    <row r="46" spans="1:30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</row>
    <row r="47" spans="1:30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</row>
    <row r="48" spans="1:30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</row>
    <row r="49" spans="1:30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</row>
    <row r="50" spans="1:30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</row>
    <row r="51" spans="1:30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</row>
    <row r="52" spans="1:30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</row>
    <row r="53" spans="1:30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</row>
    <row r="54" spans="1:30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</row>
    <row r="55" spans="1:30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</row>
    <row r="56" spans="1:30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</row>
    <row r="57" spans="1:30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</row>
    <row r="58" spans="1:30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</row>
    <row r="59" spans="1:30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</row>
    <row r="60" spans="1:30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</row>
    <row r="61" spans="1:30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</row>
    <row r="62" spans="1:30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</row>
    <row r="63" spans="1:30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</row>
    <row r="64" spans="1:30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</row>
    <row r="65" spans="1:30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</row>
    <row r="66" spans="1:30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</row>
    <row r="67" spans="1:30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</row>
    <row r="68" spans="1:30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</row>
    <row r="69" spans="1:30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</row>
    <row r="70" spans="1:30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</row>
    <row r="71" spans="1:30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</row>
    <row r="72" spans="1:30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</row>
    <row r="73" spans="1:30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</row>
    <row r="74" spans="1:30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</row>
    <row r="75" spans="1:30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</row>
    <row r="76" spans="1:30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</row>
    <row r="77" spans="1:30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</row>
    <row r="78" spans="1:30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</row>
    <row r="79" spans="1:30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</row>
    <row r="80" spans="1:30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</row>
    <row r="81" spans="1:30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</row>
    <row r="82" spans="1:30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</row>
    <row r="83" spans="1:30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</row>
    <row r="84" spans="1:30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</row>
    <row r="85" spans="1:30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</row>
    <row r="86" spans="1:30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</row>
    <row r="87" spans="1:30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</row>
    <row r="88" spans="1:30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</row>
    <row r="89" spans="1:30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</row>
    <row r="90" spans="1:30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</row>
    <row r="91" spans="1:30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</row>
    <row r="92" spans="1:30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</row>
    <row r="93" spans="1:30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</row>
    <row r="94" spans="1:30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</row>
    <row r="95" spans="1:30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</row>
    <row r="96" spans="1:30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</row>
    <row r="97" spans="1:30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</row>
    <row r="98" spans="1:30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</row>
    <row r="99" spans="1:30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</row>
    <row r="100" spans="1:30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</row>
    <row r="101" spans="1:30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</row>
    <row r="102" spans="1:30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</row>
    <row r="103" spans="1:30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</row>
    <row r="104" spans="1:30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</row>
    <row r="105" spans="1:30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</row>
    <row r="106" spans="1:30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</row>
    <row r="107" spans="1:30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</row>
    <row r="108" spans="1:30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</row>
    <row r="109" spans="1:30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</row>
    <row r="110" spans="1:30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</row>
    <row r="111" spans="1:30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</row>
    <row r="112" spans="1:30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</row>
    <row r="113" spans="1:30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</row>
    <row r="114" spans="1:30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</row>
    <row r="115" spans="1:30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</row>
    <row r="116" spans="1:30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</row>
    <row r="117" spans="1:30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</row>
    <row r="118" spans="1:30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</row>
    <row r="119" spans="1:30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</row>
    <row r="120" spans="1:30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</row>
    <row r="121" spans="1:30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</row>
    <row r="122" spans="1:30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</row>
    <row r="123" spans="1:30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</row>
    <row r="124" spans="1:30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</row>
    <row r="125" spans="1:30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</row>
    <row r="126" spans="1:30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</row>
    <row r="127" spans="1:30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</row>
    <row r="128" spans="1:30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</row>
    <row r="129" spans="1:30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</row>
    <row r="130" spans="1:30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</row>
    <row r="131" spans="1:30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</row>
    <row r="132" spans="1:30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</row>
    <row r="133" spans="1:30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</row>
    <row r="134" spans="1:30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</row>
    <row r="135" spans="1:30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</row>
    <row r="136" spans="1:30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</row>
    <row r="137" spans="1:30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</row>
    <row r="138" spans="1:30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</row>
    <row r="139" spans="1:30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</row>
    <row r="140" spans="1:30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</row>
    <row r="141" spans="1:30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</row>
    <row r="142" spans="1:30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</row>
    <row r="143" spans="1:30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</row>
    <row r="144" spans="1:30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</row>
    <row r="145" spans="1:30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</row>
    <row r="146" spans="1:30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</row>
    <row r="147" spans="1:30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</row>
    <row r="148" spans="1:30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</row>
    <row r="149" spans="1:30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</row>
    <row r="150" spans="1:30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</row>
    <row r="151" spans="1:30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</row>
    <row r="152" spans="1:30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</row>
    <row r="153" spans="1:30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</row>
    <row r="154" spans="1:30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</row>
    <row r="155" spans="1:30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</row>
    <row r="156" spans="1:30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</row>
    <row r="157" spans="1:30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</row>
    <row r="158" spans="1:30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</row>
    <row r="159" spans="1:30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</row>
    <row r="160" spans="1:30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</row>
    <row r="161" spans="1:30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</row>
    <row r="162" spans="1:30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</row>
    <row r="163" spans="1:30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</row>
    <row r="164" spans="1:30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</row>
    <row r="165" spans="1:30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</row>
    <row r="166" spans="1:30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</row>
    <row r="167" spans="1:30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</row>
    <row r="168" spans="1:30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</row>
    <row r="169" spans="1:30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</row>
    <row r="170" spans="1:30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</row>
    <row r="171" spans="1:30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</row>
    <row r="172" spans="1:30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</row>
    <row r="173" spans="1:30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</row>
    <row r="174" spans="1:30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</row>
    <row r="175" spans="1:30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</row>
    <row r="176" spans="1:30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</row>
    <row r="177" spans="1:30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</row>
    <row r="178" spans="1:30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</row>
    <row r="179" spans="1:30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</row>
    <row r="180" spans="1:30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</row>
    <row r="181" spans="1:30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</row>
    <row r="182" spans="1:30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</row>
    <row r="183" spans="1:30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</row>
    <row r="184" spans="1:30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</row>
    <row r="185" spans="1:30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</row>
    <row r="186" spans="1:30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</row>
    <row r="187" spans="1:30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</row>
    <row r="188" spans="1:30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</row>
    <row r="189" spans="1:30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</row>
    <row r="190" spans="1:30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</row>
    <row r="191" spans="1:30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</row>
    <row r="192" spans="1:30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</row>
    <row r="193" spans="1:30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</row>
    <row r="194" spans="1:30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</row>
    <row r="195" spans="1:30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</row>
    <row r="196" spans="1:30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</row>
    <row r="197" spans="1:30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</row>
    <row r="198" spans="1:30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</row>
    <row r="199" spans="1:30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</row>
    <row r="200" spans="1:30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</row>
    <row r="201" spans="1:30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</row>
    <row r="202" spans="1:30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</row>
    <row r="203" spans="1:30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</row>
    <row r="204" spans="1:30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</row>
    <row r="205" spans="1:30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</row>
    <row r="206" spans="1:30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</row>
    <row r="207" spans="1:30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</row>
    <row r="208" spans="1:30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</row>
    <row r="209" spans="1:30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</row>
    <row r="210" spans="1:30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</row>
    <row r="211" spans="1:30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</row>
    <row r="212" spans="1:30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</row>
    <row r="213" spans="1:30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</row>
    <row r="214" spans="1:30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</row>
    <row r="215" spans="1:30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</row>
    <row r="216" spans="1:30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</row>
    <row r="217" spans="1:30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</row>
    <row r="218" spans="1:30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</row>
    <row r="219" spans="1:30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</row>
    <row r="220" spans="1:30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</row>
    <row r="221" spans="1:30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</row>
    <row r="222" spans="1:30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</row>
    <row r="223" spans="1:30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</row>
    <row r="224" spans="1:30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</row>
    <row r="225" spans="1:30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</row>
    <row r="226" spans="1:30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</row>
    <row r="227" spans="1:30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</row>
    <row r="228" spans="1:30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</row>
    <row r="229" spans="1:30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</row>
    <row r="230" spans="1:30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</row>
    <row r="231" spans="1:30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</row>
    <row r="232" spans="1:30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</row>
    <row r="233" spans="1:30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</row>
    <row r="234" spans="1:30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</row>
    <row r="235" spans="1:30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</row>
    <row r="236" spans="1:30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</row>
    <row r="237" spans="1:30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</row>
    <row r="238" spans="1:30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</row>
    <row r="239" spans="1:30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</row>
    <row r="240" spans="1:30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</row>
    <row r="241" spans="1:30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</row>
    <row r="242" spans="1:30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</row>
    <row r="243" spans="1:30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</row>
    <row r="244" spans="1:30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</row>
    <row r="245" spans="1:30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</row>
    <row r="246" spans="1:30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</row>
    <row r="247" spans="1:30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</row>
    <row r="248" spans="1:30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</row>
    <row r="249" spans="1:30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</row>
    <row r="250" spans="1:30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</row>
    <row r="251" spans="1:30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</row>
    <row r="252" spans="1:30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</row>
    <row r="253" spans="1:30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</row>
    <row r="254" spans="1:30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</row>
    <row r="255" spans="1:30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</row>
    <row r="256" spans="1:30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</row>
    <row r="257" spans="1:30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</row>
    <row r="258" spans="1:30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</row>
    <row r="259" spans="1:30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</row>
    <row r="260" spans="1:30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</row>
    <row r="261" spans="1:30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</row>
    <row r="262" spans="1:30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</row>
    <row r="263" spans="1:30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</row>
    <row r="264" spans="1:30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</row>
    <row r="265" spans="1:30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</row>
    <row r="266" spans="1:30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</row>
    <row r="267" spans="1:30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</row>
    <row r="268" spans="1:30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</row>
    <row r="269" spans="1:30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</row>
    <row r="270" spans="1:30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</row>
    <row r="271" spans="1:30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</row>
    <row r="272" spans="1:30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</row>
    <row r="273" spans="1:30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</row>
    <row r="274" spans="1:30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</row>
    <row r="275" spans="1:30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</row>
    <row r="276" spans="1:30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</row>
    <row r="277" spans="1:30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</row>
    <row r="278" spans="1:30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</row>
    <row r="279" spans="1:30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</row>
    <row r="280" spans="1:30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</row>
    <row r="281" spans="1:30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</row>
    <row r="282" spans="1:30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</row>
    <row r="283" spans="1:30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</row>
    <row r="284" spans="1:30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</row>
    <row r="285" spans="1:30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</row>
    <row r="286" spans="1:30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</row>
    <row r="287" spans="1:30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</row>
    <row r="288" spans="1:30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</row>
    <row r="289" spans="1:30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</row>
    <row r="290" spans="1:30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</row>
    <row r="291" spans="1:30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</row>
    <row r="292" spans="1:30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</row>
    <row r="293" spans="1:30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</row>
    <row r="294" spans="1:30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</row>
    <row r="295" spans="1:30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</row>
    <row r="296" spans="1:30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</row>
    <row r="297" spans="1:30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</row>
    <row r="298" spans="1:30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</row>
    <row r="299" spans="1:30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</row>
    <row r="300" spans="1:30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</row>
    <row r="301" spans="1:30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</row>
    <row r="302" spans="1:30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</row>
    <row r="303" spans="1:30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</row>
    <row r="304" spans="1:30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</row>
    <row r="305" spans="1:30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</row>
    <row r="306" spans="1:30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</row>
    <row r="307" spans="1:30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</row>
    <row r="308" spans="1:30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</row>
    <row r="309" spans="1:30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</row>
    <row r="310" spans="1:30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</row>
    <row r="311" spans="1:30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</row>
    <row r="312" spans="1:30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</row>
    <row r="313" spans="1:30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</row>
    <row r="314" spans="1:30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</row>
    <row r="315" spans="1:30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</row>
    <row r="316" spans="1:30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</row>
    <row r="317" spans="1:30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</row>
    <row r="318" spans="1:30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</row>
    <row r="319" spans="1:30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</row>
    <row r="320" spans="1:30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</row>
    <row r="321" spans="1:30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</row>
    <row r="322" spans="1:30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</row>
    <row r="323" spans="1:30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</row>
    <row r="324" spans="1:30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</row>
    <row r="325" spans="1:30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</row>
    <row r="326" spans="1:30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</row>
    <row r="327" spans="1:30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</row>
    <row r="328" spans="1:30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</row>
    <row r="329" spans="1:30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</row>
    <row r="330" spans="1:30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</row>
    <row r="331" spans="1:30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</row>
    <row r="332" spans="1:30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</row>
    <row r="333" spans="1:30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</row>
    <row r="334" spans="1:30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</row>
    <row r="335" spans="1:30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</row>
    <row r="336" spans="1:30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</row>
    <row r="337" spans="1:30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</row>
    <row r="338" spans="1:30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</row>
    <row r="339" spans="1:30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</row>
    <row r="340" spans="1:30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</row>
    <row r="341" spans="1:30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</row>
    <row r="342" spans="1:30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</row>
    <row r="343" spans="1:30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</row>
    <row r="344" spans="1:30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</row>
    <row r="345" spans="1:30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</row>
    <row r="346" spans="1:30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</row>
    <row r="347" spans="1:30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</row>
    <row r="348" spans="1:30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</row>
    <row r="349" spans="1:30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</row>
    <row r="350" spans="1:30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</row>
    <row r="351" spans="1:30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</row>
    <row r="352" spans="1:30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</row>
    <row r="353" spans="1:30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</row>
    <row r="354" spans="1:30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</row>
    <row r="355" spans="1:30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</row>
    <row r="356" spans="1:30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</row>
    <row r="357" spans="1:30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</row>
    <row r="358" spans="1:30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</row>
    <row r="359" spans="1:30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</row>
    <row r="360" spans="1:30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</row>
    <row r="361" spans="1:30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</row>
    <row r="362" spans="1:30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</row>
    <row r="363" spans="1:30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</row>
    <row r="364" spans="1:30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</row>
    <row r="365" spans="1:30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</row>
    <row r="366" spans="1:30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</row>
    <row r="367" spans="1:30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</row>
    <row r="368" spans="1:30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</row>
    <row r="369" spans="1:30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</row>
    <row r="370" spans="1:30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</row>
    <row r="371" spans="1:30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</row>
    <row r="372" spans="1:30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</row>
    <row r="373" spans="1:30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</row>
    <row r="374" spans="1:30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</row>
    <row r="375" spans="1:30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</row>
    <row r="376" spans="1:30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</row>
    <row r="377" spans="1:30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</row>
    <row r="378" spans="1:30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</row>
    <row r="379" spans="1:30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</row>
    <row r="380" spans="1:30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</row>
    <row r="381" spans="1:30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</row>
    <row r="382" spans="1:30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</row>
    <row r="383" spans="1:30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</row>
    <row r="384" spans="1:30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</row>
    <row r="385" spans="1:30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</row>
    <row r="386" spans="1:30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</row>
    <row r="387" spans="1:30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</row>
    <row r="388" spans="1:30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</row>
    <row r="389" spans="1:30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</row>
    <row r="390" spans="1:30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</row>
    <row r="391" spans="1:30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</row>
    <row r="392" spans="1:30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</row>
    <row r="393" spans="1:30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</row>
    <row r="394" spans="1:30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</row>
    <row r="395" spans="1:30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</row>
    <row r="396" spans="1:30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</row>
    <row r="397" spans="1:30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</row>
    <row r="398" spans="1:30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</row>
    <row r="399" spans="1:30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</row>
    <row r="400" spans="1:30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</row>
    <row r="401" spans="1:30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</row>
    <row r="402" spans="1:30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</row>
    <row r="403" spans="1:30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</row>
    <row r="404" spans="1:30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</row>
    <row r="405" spans="1:30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</row>
    <row r="406" spans="1:30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</row>
    <row r="407" spans="1:30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</row>
    <row r="408" spans="1:30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</row>
    <row r="409" spans="1:30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</row>
    <row r="410" spans="1:30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</row>
    <row r="411" spans="1:30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</row>
    <row r="412" spans="1:30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</row>
    <row r="413" spans="1:30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</row>
    <row r="414" spans="1:30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</row>
    <row r="415" spans="1:30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</row>
    <row r="416" spans="1:30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</row>
    <row r="417" spans="1:30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</row>
    <row r="418" spans="1:30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</row>
    <row r="419" spans="1:30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</row>
    <row r="420" spans="1:30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</row>
    <row r="421" spans="1:30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</row>
    <row r="422" spans="1:30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</row>
    <row r="423" spans="1:30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</row>
    <row r="424" spans="1:30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</row>
    <row r="425" spans="1:30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</row>
    <row r="426" spans="1:30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</row>
    <row r="427" spans="1:30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</row>
    <row r="428" spans="1:30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</row>
    <row r="429" spans="1:30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</row>
    <row r="430" spans="1:30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</row>
    <row r="431" spans="1:30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</row>
    <row r="432" spans="1:30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</row>
    <row r="433" spans="1:30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</row>
    <row r="434" spans="1:30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</row>
    <row r="435" spans="1:30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</row>
    <row r="436" spans="1:30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</row>
    <row r="437" spans="1:30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</row>
    <row r="438" spans="1:30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</row>
    <row r="439" spans="1:30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</row>
    <row r="440" spans="1:30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</row>
    <row r="441" spans="1:30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</row>
    <row r="442" spans="1:30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</row>
    <row r="443" spans="1:30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</row>
    <row r="444" spans="1:30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</row>
    <row r="445" spans="1:30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</row>
    <row r="446" spans="1:30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</row>
    <row r="447" spans="1:30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</row>
    <row r="448" spans="1:30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</row>
    <row r="449" spans="1:30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</row>
    <row r="450" spans="1:30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</row>
    <row r="451" spans="1:30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</row>
    <row r="452" spans="1:30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</row>
    <row r="453" spans="1:30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</row>
    <row r="454" spans="1:30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</row>
    <row r="455" spans="1:30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</row>
    <row r="456" spans="1:30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</row>
    <row r="457" spans="1:30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</row>
    <row r="458" spans="1:30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</row>
    <row r="459" spans="1:30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</row>
    <row r="460" spans="1:30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</row>
    <row r="461" spans="1:30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</row>
    <row r="462" spans="1:30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</row>
    <row r="463" spans="1:30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</row>
    <row r="464" spans="1:30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</row>
    <row r="465" spans="1:30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</row>
    <row r="466" spans="1:30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</row>
    <row r="467" spans="1:30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</row>
    <row r="468" spans="1:30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</row>
    <row r="469" spans="1:30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</row>
    <row r="470" spans="1:30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</row>
    <row r="471" spans="1:30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</row>
    <row r="472" spans="1:30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</row>
    <row r="473" spans="1:30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</row>
    <row r="474" spans="1:30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</row>
    <row r="475" spans="1:30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</row>
    <row r="476" spans="1:30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</row>
    <row r="477" spans="1:30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</row>
    <row r="478" spans="1:30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</row>
    <row r="479" spans="1:30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</row>
    <row r="480" spans="1:30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</row>
    <row r="481" spans="1:30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</row>
    <row r="482" spans="1:30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</row>
    <row r="483" spans="1:30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</row>
    <row r="484" spans="1:30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</row>
    <row r="485" spans="1:30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</row>
    <row r="486" spans="1:30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</row>
    <row r="487" spans="1:30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</row>
    <row r="488" spans="1:30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</row>
    <row r="489" spans="1:30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</row>
    <row r="490" spans="1:30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</row>
    <row r="491" spans="1:30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</row>
    <row r="492" spans="1:30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</row>
    <row r="493" spans="1:30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</row>
    <row r="494" spans="1:30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</row>
    <row r="495" spans="1:30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</row>
    <row r="496" spans="1:30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</row>
    <row r="497" spans="1:30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</row>
    <row r="498" spans="1:30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</row>
    <row r="499" spans="1:30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</row>
    <row r="500" spans="1:30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</row>
    <row r="501" spans="1:30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</row>
    <row r="502" spans="1:30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</row>
    <row r="503" spans="1:30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</row>
    <row r="504" spans="1:30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</row>
    <row r="505" spans="1:30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</row>
    <row r="506" spans="1:30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</row>
    <row r="507" spans="1:30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</row>
    <row r="508" spans="1:30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</row>
    <row r="509" spans="1:30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</row>
    <row r="510" spans="1:30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</row>
    <row r="511" spans="1:30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</row>
    <row r="512" spans="1:30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</row>
    <row r="513" spans="1:30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</row>
    <row r="514" spans="1:30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</row>
    <row r="515" spans="1:30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</row>
    <row r="516" spans="1:30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</row>
    <row r="517" spans="1:30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</row>
    <row r="518" spans="1:30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</row>
    <row r="519" spans="1:30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</row>
    <row r="520" spans="1:30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</row>
    <row r="521" spans="1:30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</row>
    <row r="522" spans="1:30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</row>
    <row r="523" spans="1:30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</row>
    <row r="524" spans="1:30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</row>
    <row r="525" spans="1:30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</row>
    <row r="526" spans="1:30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</row>
    <row r="527" spans="1:30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</row>
    <row r="528" spans="1:30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</row>
    <row r="529" spans="1:30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</row>
    <row r="530" spans="1:30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</row>
    <row r="531" spans="1:30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</row>
    <row r="532" spans="1:30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</row>
    <row r="533" spans="1:30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</row>
    <row r="534" spans="1:30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</row>
    <row r="535" spans="1:30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</row>
    <row r="536" spans="1:30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</row>
    <row r="537" spans="1:30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</row>
    <row r="538" spans="1:30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</row>
    <row r="539" spans="1:30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</row>
    <row r="540" spans="1:30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</row>
    <row r="541" spans="1:30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</row>
    <row r="542" spans="1:30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</row>
    <row r="543" spans="1:30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</row>
    <row r="544" spans="1:30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</row>
    <row r="545" spans="1:30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</row>
    <row r="546" spans="1:30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</row>
    <row r="547" spans="1:30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</row>
    <row r="548" spans="1:30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</row>
    <row r="549" spans="1:30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</row>
    <row r="550" spans="1:30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</row>
    <row r="551" spans="1:30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</row>
    <row r="552" spans="1:30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</row>
    <row r="553" spans="1:30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</row>
    <row r="554" spans="1:30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</row>
    <row r="555" spans="1:30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</row>
    <row r="556" spans="1:30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</row>
    <row r="557" spans="1:30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</row>
    <row r="558" spans="1:30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</row>
    <row r="559" spans="1:30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</row>
    <row r="560" spans="1:30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</row>
    <row r="561" spans="1:30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</row>
    <row r="562" spans="1:30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</row>
    <row r="563" spans="1:30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</row>
    <row r="564" spans="1:30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</row>
    <row r="565" spans="1:30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</row>
    <row r="566" spans="1:30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</row>
    <row r="567" spans="1:30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</row>
    <row r="568" spans="1:30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</row>
    <row r="569" spans="1:30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</row>
    <row r="570" spans="1:30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</row>
    <row r="571" spans="1:30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</row>
    <row r="572" spans="1:30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</row>
    <row r="573" spans="1:30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</row>
    <row r="574" spans="1:30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</row>
    <row r="575" spans="1:30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</row>
    <row r="576" spans="1:30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</row>
    <row r="577" spans="1:30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</row>
    <row r="578" spans="1:30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</row>
    <row r="579" spans="1:30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</row>
    <row r="580" spans="1:30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</row>
    <row r="581" spans="1:30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</row>
    <row r="582" spans="1:30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</row>
    <row r="583" spans="1:30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</row>
    <row r="584" spans="1:30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</row>
    <row r="585" spans="1:30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</row>
    <row r="586" spans="1:30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</row>
    <row r="587" spans="1:30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</row>
    <row r="588" spans="1:30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</row>
    <row r="589" spans="1:30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</row>
    <row r="590" spans="1:30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</row>
    <row r="591" spans="1:30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</row>
    <row r="592" spans="1:30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</row>
    <row r="593" spans="1:30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</row>
    <row r="594" spans="1:30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</row>
    <row r="595" spans="1:30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</row>
    <row r="596" spans="1:30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</row>
    <row r="597" spans="1:30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</row>
    <row r="598" spans="1:30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</row>
    <row r="599" spans="1:30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</row>
    <row r="600" spans="1:30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</row>
    <row r="601" spans="1:30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</row>
    <row r="602" spans="1:30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</row>
    <row r="603" spans="1:30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</row>
    <row r="604" spans="1:30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</row>
    <row r="605" spans="1:30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</row>
    <row r="606" spans="1:30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</row>
    <row r="607" spans="1:30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</row>
    <row r="608" spans="1:30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</row>
    <row r="609" spans="1:30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</row>
    <row r="610" spans="1:30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</row>
    <row r="611" spans="1:30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</row>
    <row r="612" spans="1:30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</row>
    <row r="613" spans="1:30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</row>
    <row r="614" spans="1:30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</row>
    <row r="615" spans="1:30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</row>
    <row r="616" spans="1:30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</row>
    <row r="617" spans="1:30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</row>
    <row r="618" spans="1:30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</row>
    <row r="619" spans="1:30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</row>
    <row r="620" spans="1:30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</row>
    <row r="621" spans="1:30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</row>
    <row r="622" spans="1:30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</row>
    <row r="623" spans="1:30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</row>
    <row r="624" spans="1:30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</row>
    <row r="625" spans="1:30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</row>
    <row r="626" spans="1:30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</row>
    <row r="627" spans="1:30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</row>
    <row r="628" spans="1:30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</row>
    <row r="629" spans="1:30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</row>
    <row r="630" spans="1:30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</row>
    <row r="631" spans="1:30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</row>
    <row r="632" spans="1:30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</row>
    <row r="633" spans="1:30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</row>
    <row r="634" spans="1:30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</row>
    <row r="635" spans="1:30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</row>
    <row r="636" spans="1:30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</row>
    <row r="637" spans="1:30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</row>
    <row r="638" spans="1:30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</row>
    <row r="639" spans="1:30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</row>
    <row r="640" spans="1:30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</row>
    <row r="641" spans="1:30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</row>
    <row r="642" spans="1:30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</row>
    <row r="643" spans="1:30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</row>
    <row r="644" spans="1:30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</row>
    <row r="645" spans="1:30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</row>
    <row r="646" spans="1:30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</row>
    <row r="647" spans="1:30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</row>
    <row r="648" spans="1:30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</row>
    <row r="649" spans="1:30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</row>
    <row r="650" spans="1:30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</row>
    <row r="651" spans="1:30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</row>
    <row r="652" spans="1:30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</row>
    <row r="653" spans="1:30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</row>
    <row r="654" spans="1:30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</row>
    <row r="655" spans="1:30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</row>
    <row r="656" spans="1:30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</row>
    <row r="657" spans="1:30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</row>
    <row r="658" spans="1:30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</row>
    <row r="659" spans="1:30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</row>
    <row r="660" spans="1:30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</row>
    <row r="661" spans="1:30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</row>
    <row r="662" spans="1:30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</row>
    <row r="663" spans="1:30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</row>
    <row r="664" spans="1:30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</row>
    <row r="665" spans="1:30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</row>
    <row r="666" spans="1:30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</row>
    <row r="667" spans="1:30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</row>
    <row r="668" spans="1:30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</row>
    <row r="669" spans="1:30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</row>
    <row r="670" spans="1:30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</row>
    <row r="671" spans="1:30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</row>
    <row r="672" spans="1:30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</row>
    <row r="673" spans="1:30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</row>
    <row r="674" spans="1:30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</row>
    <row r="675" spans="1:30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</row>
    <row r="676" spans="1:30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</row>
    <row r="677" spans="1:30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</row>
    <row r="678" spans="1:30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</row>
    <row r="679" spans="1:30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</row>
    <row r="680" spans="1:30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</row>
    <row r="681" spans="1:30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</row>
    <row r="682" spans="1:30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</row>
    <row r="683" spans="1:30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</row>
    <row r="684" spans="1:30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</row>
    <row r="685" spans="1:30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</row>
    <row r="686" spans="1:30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</row>
    <row r="687" spans="1:30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</row>
    <row r="688" spans="1:30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</row>
    <row r="689" spans="1:30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</row>
    <row r="690" spans="1:30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</row>
    <row r="691" spans="1:30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</row>
    <row r="692" spans="1:30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</row>
    <row r="693" spans="1:30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</row>
    <row r="694" spans="1:30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</row>
    <row r="695" spans="1:30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</row>
    <row r="696" spans="1:30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</row>
    <row r="697" spans="1:30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</row>
    <row r="698" spans="1:30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</row>
    <row r="699" spans="1:30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</row>
    <row r="700" spans="1:30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</row>
    <row r="701" spans="1:30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</row>
    <row r="702" spans="1:30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</row>
    <row r="703" spans="1:30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</row>
    <row r="704" spans="1:30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</row>
    <row r="705" spans="1:30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</row>
    <row r="706" spans="1:30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</row>
    <row r="707" spans="1:30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</row>
    <row r="708" spans="1:30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</row>
    <row r="709" spans="1:30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</row>
    <row r="710" spans="1:30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</row>
    <row r="711" spans="1:30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</row>
    <row r="712" spans="1:30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</row>
    <row r="713" spans="1:30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</row>
    <row r="714" spans="1:30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</row>
    <row r="715" spans="1:30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</row>
    <row r="716" spans="1:30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</row>
    <row r="717" spans="1:30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</row>
    <row r="718" spans="1:30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</row>
    <row r="719" spans="1:30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</row>
    <row r="720" spans="1:30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</row>
    <row r="721" spans="1:30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</row>
    <row r="722" spans="1:30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</row>
    <row r="723" spans="1:30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</row>
    <row r="724" spans="1:30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</row>
    <row r="725" spans="1:30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</row>
    <row r="726" spans="1:30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</row>
    <row r="727" spans="1:30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</row>
    <row r="728" spans="1:30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</row>
    <row r="729" spans="1:30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</row>
    <row r="730" spans="1:30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</row>
    <row r="731" spans="1:30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</row>
    <row r="732" spans="1:30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</row>
    <row r="733" spans="1:30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</row>
    <row r="734" spans="1:30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</row>
    <row r="735" spans="1:30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</row>
    <row r="736" spans="1:30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</row>
    <row r="737" spans="1:30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</row>
    <row r="738" spans="1:30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</row>
    <row r="739" spans="1:30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</row>
    <row r="740" spans="1:30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</row>
    <row r="741" spans="1:30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</row>
    <row r="742" spans="1:30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</row>
    <row r="743" spans="1:30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</row>
    <row r="744" spans="1:30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</row>
    <row r="745" spans="1:30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</row>
    <row r="746" spans="1:30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</row>
    <row r="747" spans="1:30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</row>
    <row r="748" spans="1:30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</row>
    <row r="749" spans="1:30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</row>
    <row r="750" spans="1:30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</row>
    <row r="751" spans="1:30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</row>
    <row r="752" spans="1:30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</row>
    <row r="753" spans="1:30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</row>
    <row r="754" spans="1:30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</row>
    <row r="755" spans="1:30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</row>
    <row r="756" spans="1:30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</row>
    <row r="757" spans="1:30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</row>
    <row r="758" spans="1:30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</row>
    <row r="759" spans="1:30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</row>
    <row r="760" spans="1:30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</row>
    <row r="761" spans="1:30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</row>
    <row r="762" spans="1:30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</row>
    <row r="763" spans="1:30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</row>
    <row r="764" spans="1:30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</row>
    <row r="765" spans="1:30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</row>
    <row r="766" spans="1:30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</row>
    <row r="767" spans="1:30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</row>
    <row r="768" spans="1:30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</row>
    <row r="769" spans="1:30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</row>
    <row r="770" spans="1:30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</row>
    <row r="771" spans="1:30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</row>
    <row r="772" spans="1:30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</row>
    <row r="773" spans="1:30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</row>
    <row r="774" spans="1:30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</row>
    <row r="775" spans="1:30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</row>
    <row r="776" spans="1:30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</row>
    <row r="777" spans="1:30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</row>
    <row r="778" spans="1:30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</row>
    <row r="779" spans="1:30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</row>
    <row r="780" spans="1:30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</row>
    <row r="781" spans="1:30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</row>
    <row r="782" spans="1:30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</row>
    <row r="783" spans="1:30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</row>
    <row r="784" spans="1:30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</row>
    <row r="785" spans="1:30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</row>
    <row r="786" spans="1:30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</row>
    <row r="787" spans="1:30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</row>
    <row r="788" spans="1:30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</row>
    <row r="789" spans="1:30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</row>
    <row r="790" spans="1:30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</row>
    <row r="791" spans="1:30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</row>
    <row r="792" spans="1:30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</row>
    <row r="793" spans="1:30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</row>
    <row r="794" spans="1:30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</row>
    <row r="795" spans="1:30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</row>
    <row r="796" spans="1:30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</row>
    <row r="797" spans="1:30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</row>
    <row r="798" spans="1:30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</row>
    <row r="799" spans="1:30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</row>
    <row r="800" spans="1:30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</row>
    <row r="801" spans="1:30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</row>
    <row r="802" spans="1:30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</row>
    <row r="803" spans="1:30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</row>
    <row r="804" spans="1:30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</row>
    <row r="805" spans="1:30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</row>
    <row r="806" spans="1:30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</row>
    <row r="807" spans="1:30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</row>
    <row r="808" spans="1:30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</row>
    <row r="809" spans="1:30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</row>
    <row r="810" spans="1:30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</row>
    <row r="811" spans="1:30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</row>
    <row r="812" spans="1:30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</row>
    <row r="813" spans="1:30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</row>
    <row r="814" spans="1:30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</row>
    <row r="815" spans="1:30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</row>
    <row r="816" spans="1:30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</row>
    <row r="817" spans="1:30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</row>
    <row r="818" spans="1:30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</row>
    <row r="819" spans="1:30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</row>
    <row r="820" spans="1:30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</row>
    <row r="821" spans="1:30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</row>
    <row r="822" spans="1:30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</row>
    <row r="823" spans="1:30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</row>
    <row r="824" spans="1:30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</row>
    <row r="825" spans="1:30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</row>
    <row r="826" spans="1:30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</row>
    <row r="827" spans="1:30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</row>
    <row r="828" spans="1:30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</row>
    <row r="829" spans="1:30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</row>
    <row r="830" spans="1:30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</row>
    <row r="831" spans="1:30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</row>
    <row r="832" spans="1:30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</row>
    <row r="833" spans="1:30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</row>
    <row r="834" spans="1:30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</row>
    <row r="835" spans="1:30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</row>
    <row r="836" spans="1:30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</row>
    <row r="837" spans="1:30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</row>
    <row r="838" spans="1:30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</row>
    <row r="839" spans="1:30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</row>
    <row r="840" spans="1:30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</row>
    <row r="841" spans="1:30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</row>
    <row r="842" spans="1:30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</row>
    <row r="843" spans="1:30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</row>
    <row r="844" spans="1:30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</row>
    <row r="845" spans="1:30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</row>
    <row r="846" spans="1:30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</row>
    <row r="847" spans="1:30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</row>
    <row r="848" spans="1:30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</row>
    <row r="849" spans="1:30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</row>
    <row r="850" spans="1:30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</row>
    <row r="851" spans="1:30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</row>
    <row r="852" spans="1:30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</row>
    <row r="853" spans="1:30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</row>
    <row r="854" spans="1:30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</row>
    <row r="855" spans="1:30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</row>
    <row r="856" spans="1:30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</row>
    <row r="857" spans="1:30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</row>
    <row r="858" spans="1:30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</row>
    <row r="859" spans="1:30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</row>
    <row r="860" spans="1:30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</row>
    <row r="861" spans="1:30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</row>
    <row r="862" spans="1:30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</row>
    <row r="863" spans="1:30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</row>
    <row r="864" spans="1:30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</row>
    <row r="865" spans="1:30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</row>
    <row r="866" spans="1:30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</row>
    <row r="867" spans="1:30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</row>
    <row r="868" spans="1:30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</row>
    <row r="869" spans="1:30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</row>
    <row r="870" spans="1:30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</row>
    <row r="871" spans="1:30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</row>
    <row r="872" spans="1:30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</row>
    <row r="873" spans="1:30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</row>
    <row r="874" spans="1:30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</row>
    <row r="875" spans="1:30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</row>
    <row r="876" spans="1:30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</row>
    <row r="877" spans="1:30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</row>
    <row r="878" spans="1:30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</row>
    <row r="879" spans="1:30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</row>
    <row r="880" spans="1:30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</row>
    <row r="881" spans="1:30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</row>
    <row r="882" spans="1:30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</row>
    <row r="883" spans="1:30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</row>
    <row r="884" spans="1:30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</row>
    <row r="885" spans="1:30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</row>
    <row r="886" spans="1:30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</row>
    <row r="887" spans="1:30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</row>
    <row r="888" spans="1:30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</row>
    <row r="889" spans="1:30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</row>
    <row r="890" spans="1:30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</row>
    <row r="891" spans="1:30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</row>
    <row r="892" spans="1:30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</row>
    <row r="893" spans="1:30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</row>
    <row r="894" spans="1:30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</row>
    <row r="895" spans="1:30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</row>
    <row r="896" spans="1:30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</row>
    <row r="897" spans="1:30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</row>
    <row r="898" spans="1:30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</row>
    <row r="899" spans="1:30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</row>
    <row r="900" spans="1:30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</row>
    <row r="901" spans="1:30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</row>
    <row r="902" spans="1:30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</row>
    <row r="903" spans="1:30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</row>
    <row r="904" spans="1:30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</row>
    <row r="905" spans="1:30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</row>
    <row r="906" spans="1:30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</row>
    <row r="907" spans="1:30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</row>
    <row r="908" spans="1:30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</row>
    <row r="909" spans="1:30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</row>
    <row r="910" spans="1:30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</row>
    <row r="911" spans="1:30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</row>
    <row r="912" spans="1:30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</row>
    <row r="913" spans="1:30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</row>
    <row r="914" spans="1:30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</row>
    <row r="915" spans="1:30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</row>
    <row r="916" spans="1:30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</row>
    <row r="917" spans="1:30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</row>
    <row r="918" spans="1:30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</row>
    <row r="919" spans="1:30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</row>
    <row r="920" spans="1:30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</row>
    <row r="921" spans="1:30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</row>
    <row r="922" spans="1:30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</row>
    <row r="923" spans="1:30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</row>
    <row r="924" spans="1:30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</row>
    <row r="925" spans="1:30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</row>
    <row r="926" spans="1:30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</row>
    <row r="927" spans="1:30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</row>
    <row r="928" spans="1:30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</row>
    <row r="929" spans="1:30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</row>
    <row r="930" spans="1:30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</row>
    <row r="931" spans="1:30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</row>
    <row r="932" spans="1:30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</row>
    <row r="933" spans="1:30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</row>
    <row r="934" spans="1:30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</row>
    <row r="935" spans="1:30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</row>
    <row r="936" spans="1:30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</row>
    <row r="937" spans="1:30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</row>
    <row r="938" spans="1:30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</row>
    <row r="939" spans="1:30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</row>
    <row r="940" spans="1:30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</row>
    <row r="941" spans="1:30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</row>
    <row r="942" spans="1:30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</row>
    <row r="943" spans="1:30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</row>
    <row r="944" spans="1:30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</row>
    <row r="945" spans="1:30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</row>
    <row r="946" spans="1:30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</row>
    <row r="947" spans="1:30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</row>
    <row r="948" spans="1:30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</row>
    <row r="949" spans="1:30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</row>
    <row r="950" spans="1:30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</row>
    <row r="951" spans="1:30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</row>
    <row r="952" spans="1:30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</row>
    <row r="953" spans="1:30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</row>
    <row r="954" spans="1:30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</row>
    <row r="955" spans="1:30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</row>
    <row r="956" spans="1:30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</row>
    <row r="957" spans="1:30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</row>
    <row r="958" spans="1:30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</row>
    <row r="959" spans="1:30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</row>
    <row r="960" spans="1:30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</row>
    <row r="961" spans="1:30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</row>
    <row r="962" spans="1:30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</row>
    <row r="963" spans="1:30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</row>
    <row r="964" spans="1:30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</row>
    <row r="965" spans="1:30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</row>
    <row r="966" spans="1:30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</row>
    <row r="967" spans="1:30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</row>
    <row r="968" spans="1:30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</row>
    <row r="969" spans="1:30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</row>
    <row r="970" spans="1:30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</row>
    <row r="971" spans="1:30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</row>
    <row r="972" spans="1:30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</row>
    <row r="973" spans="1:30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</row>
    <row r="974" spans="1:30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</row>
    <row r="975" spans="1:30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</row>
    <row r="976" spans="1:30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</row>
    <row r="977" spans="1:30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</row>
    <row r="978" spans="1:30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</row>
    <row r="979" spans="1:30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</row>
    <row r="980" spans="1:30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</row>
    <row r="981" spans="1:30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</row>
    <row r="982" spans="1:30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</row>
    <row r="983" spans="1:30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</row>
    <row r="984" spans="1:30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</row>
    <row r="985" spans="1:30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</row>
    <row r="986" spans="1:30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</row>
    <row r="987" spans="1:30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</row>
    <row r="988" spans="1:30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</row>
    <row r="989" spans="1:30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</row>
    <row r="990" spans="1:30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</row>
    <row r="991" spans="1:30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</row>
    <row r="992" spans="1:30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</row>
    <row r="993" spans="1:30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</row>
    <row r="994" spans="1:30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</row>
    <row r="995" spans="1:30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</row>
    <row r="996" spans="1:30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</row>
    <row r="997" spans="1:30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</row>
    <row r="998" spans="1:30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</row>
    <row r="999" spans="1:30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</row>
    <row r="1000" spans="1:30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</row>
  </sheetData>
  <sortState xmlns:xlrd2="http://schemas.microsoft.com/office/spreadsheetml/2017/richdata2" ref="A2:F26">
    <sortCondition descending="1" ref="D2:D26"/>
  </sortState>
  <conditionalFormatting sqref="D2:D26">
    <cfRule type="cellIs" dxfId="0" priority="1" operator="greaterThan">
      <formula>100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baseColWidth="10" defaultColWidth="12.6640625" defaultRowHeight="15.75" customHeight="1" x14ac:dyDescent="0.15"/>
  <sheetData>
    <row r="1" spans="1:26" x14ac:dyDescent="0.2">
      <c r="A1" s="1" t="s">
        <v>1</v>
      </c>
      <c r="B1" s="1" t="s">
        <v>5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x14ac:dyDescent="0.2">
      <c r="A2" s="4" t="s">
        <v>8</v>
      </c>
      <c r="B2" s="4" t="s">
        <v>8</v>
      </c>
      <c r="C2" s="6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x14ac:dyDescent="0.2">
      <c r="A3" s="4" t="s">
        <v>37</v>
      </c>
      <c r="B3" s="4" t="s">
        <v>50</v>
      </c>
      <c r="C3" s="6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">
      <c r="A4" s="4" t="s">
        <v>47</v>
      </c>
      <c r="B4" s="4" t="s">
        <v>47</v>
      </c>
      <c r="C4" s="6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x14ac:dyDescent="0.2">
      <c r="A5" s="4" t="s">
        <v>42</v>
      </c>
      <c r="B5" s="4" t="s">
        <v>51</v>
      </c>
      <c r="C5" s="6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x14ac:dyDescent="0.2">
      <c r="A6" s="4" t="s">
        <v>18</v>
      </c>
      <c r="B6" s="4" t="s">
        <v>18</v>
      </c>
      <c r="C6" s="6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x14ac:dyDescent="0.2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x14ac:dyDescent="0.2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x14ac:dyDescent="0.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x14ac:dyDescent="0.2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x14ac:dyDescent="0.2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x14ac:dyDescent="0.2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x14ac:dyDescent="0.2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x14ac:dyDescent="0.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x14ac:dyDescent="0.2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x14ac:dyDescent="0.2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x14ac:dyDescent="0.2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x14ac:dyDescent="0.2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x14ac:dyDescent="0.2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x14ac:dyDescent="0.2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x14ac:dyDescent="0.2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x14ac:dyDescent="0.2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x14ac:dyDescent="0.2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x14ac:dyDescent="0.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x14ac:dyDescent="0.2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x14ac:dyDescent="0.2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x14ac:dyDescent="0.2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x14ac:dyDescent="0.2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x14ac:dyDescent="0.2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x14ac:dyDescent="0.2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x14ac:dyDescent="0.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x14ac:dyDescent="0.2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x14ac:dyDescent="0.2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x14ac:dyDescent="0.2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x14ac:dyDescent="0.2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x14ac:dyDescent="0.2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x14ac:dyDescent="0.2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2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2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2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2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2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2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2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2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2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2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2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2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2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2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2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2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2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2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2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2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2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2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2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2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2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2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2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2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2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2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2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2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2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2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2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2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2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2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2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2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2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2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2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2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2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2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2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2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2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2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2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2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2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2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2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2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2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2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2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2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2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2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2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2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2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2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2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2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2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2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2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2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2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2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2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2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2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2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2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2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2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2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2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2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2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2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2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2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2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2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2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2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2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2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2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2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2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2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2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2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2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2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2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2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2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2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2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2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2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2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2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2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2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2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2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2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2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2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2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2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2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2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2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2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2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2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2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2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2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2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2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2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2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2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2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2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2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2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2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2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2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2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2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2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2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2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2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2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2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2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2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2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2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2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2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2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2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2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2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2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2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2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2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2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2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2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2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2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2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2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2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2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2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2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2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2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2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2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2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2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2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2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2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2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2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2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2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2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2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2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2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2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2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2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2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2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2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2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2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2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2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2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2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2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2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2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2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2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2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2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2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2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2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2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2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2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2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2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2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2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2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2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2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2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2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2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2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2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2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2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2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2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2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2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2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2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2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2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2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2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2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2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2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2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2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2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2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2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2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2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2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2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2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2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2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2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2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2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2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2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2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2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2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2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2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2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2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2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2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2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2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2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2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2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2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2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2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2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2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2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2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2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2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2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2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2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2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2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2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2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2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2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2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2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2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2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2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2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2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2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2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2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2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2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2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2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2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2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2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2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2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2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2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2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2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2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2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2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2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2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2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2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2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2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2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2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2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2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2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2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2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2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2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2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2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2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2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2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2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2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2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2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2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2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2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2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2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2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2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2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2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2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2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2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2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2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2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2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2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2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2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2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2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2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2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2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2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2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2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2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2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2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2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2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2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2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2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2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2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2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2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2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2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2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2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2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2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2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2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2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2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2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2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2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2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2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2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2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2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2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2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2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2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2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2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2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2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2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2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2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2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2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2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2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2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2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2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2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2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2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2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2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2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2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2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2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2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2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2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2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2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2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2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2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2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2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2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2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2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2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2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2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2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2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2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2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2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2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2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2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2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2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2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2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2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2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2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2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2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2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2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2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2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2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2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2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2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2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2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2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2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2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2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2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2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2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2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2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2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2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2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2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2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2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2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2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2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2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2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2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2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2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2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2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2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2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2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2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2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2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2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2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2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2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2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2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2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2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2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2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2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2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2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2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2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2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2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2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2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2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2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2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2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2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2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2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2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2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2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2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2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2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2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2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2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2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2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2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2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2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2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2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2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2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2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2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2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2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2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2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2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2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2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2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2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2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2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2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2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2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2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2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2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2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2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2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2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2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2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2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2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2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2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2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2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2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2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2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2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2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2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2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2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2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2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2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2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2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2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2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2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2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2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2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2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2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2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2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2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2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2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2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2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2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2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2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2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2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2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2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2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2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2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2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2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2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2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2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2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2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2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2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2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2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2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2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2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2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2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2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2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2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2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2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2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2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2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2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2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2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2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2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2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2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2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2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2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2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2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2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2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2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2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2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2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2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2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2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2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2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2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2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2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2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2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2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2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2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2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2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2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2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2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2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2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2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2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2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2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2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2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2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2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2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2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2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2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2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2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2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2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2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2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2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2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2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2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2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2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2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2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2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2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2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2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2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2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2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2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2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2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2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2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2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2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2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2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2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2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2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2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2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2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2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2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2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2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2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2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2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2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2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2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2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2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2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2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2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2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2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2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2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2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2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2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2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2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2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2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2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2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2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2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2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2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2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2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2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2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2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2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2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2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2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2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2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2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2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2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2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2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2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2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2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2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2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2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2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2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2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2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2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2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2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2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2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2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2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2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2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2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2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2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2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2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2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2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2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2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2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2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2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2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2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2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2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2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2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2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2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2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2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2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2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2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2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2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2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2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2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2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2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2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2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2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2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2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2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2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2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2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2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2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2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2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2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2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2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2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2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2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2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2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2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2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2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2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2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2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D0D03A-E5D9-BA43-AD4B-752DF6BF404E}">
  <dimension ref="A3:H18"/>
  <sheetViews>
    <sheetView topLeftCell="A2" workbookViewId="0">
      <selection activeCell="K24" sqref="K24"/>
    </sheetView>
  </sheetViews>
  <sheetFormatPr baseColWidth="10" defaultRowHeight="13" x14ac:dyDescent="0.15"/>
  <cols>
    <col min="1" max="1" width="27.33203125" customWidth="1"/>
    <col min="2" max="2" width="20" bestFit="1" customWidth="1"/>
    <col min="3" max="3" width="8.33203125" bestFit="1" customWidth="1"/>
    <col min="4" max="4" width="7.1640625" bestFit="1" customWidth="1"/>
    <col min="5" max="5" width="8.83203125" bestFit="1" customWidth="1"/>
    <col min="6" max="6" width="11.83203125" bestFit="1" customWidth="1"/>
    <col min="7" max="7" width="18.83203125" bestFit="1" customWidth="1"/>
    <col min="8" max="8" width="17.33203125" bestFit="1" customWidth="1"/>
  </cols>
  <sheetData>
    <row r="3" spans="1:8" x14ac:dyDescent="0.15">
      <c r="A3" s="12" t="s">
        <v>60</v>
      </c>
      <c r="B3" s="12" t="s">
        <v>59</v>
      </c>
    </row>
    <row r="4" spans="1:8" x14ac:dyDescent="0.15">
      <c r="A4" s="12" t="s">
        <v>57</v>
      </c>
      <c r="B4" t="s">
        <v>16</v>
      </c>
      <c r="C4" t="s">
        <v>12</v>
      </c>
      <c r="D4" t="s">
        <v>44</v>
      </c>
      <c r="E4" t="s">
        <v>10</v>
      </c>
      <c r="F4" t="s">
        <v>26</v>
      </c>
      <c r="G4" t="s">
        <v>19</v>
      </c>
      <c r="H4" t="s">
        <v>58</v>
      </c>
    </row>
    <row r="5" spans="1:8" x14ac:dyDescent="0.15">
      <c r="A5" s="13" t="s">
        <v>9</v>
      </c>
      <c r="C5">
        <v>38.04</v>
      </c>
      <c r="E5">
        <v>250.85</v>
      </c>
      <c r="H5">
        <v>288.89</v>
      </c>
    </row>
    <row r="6" spans="1:8" x14ac:dyDescent="0.15">
      <c r="A6" s="13" t="s">
        <v>15</v>
      </c>
      <c r="B6">
        <v>32.15</v>
      </c>
      <c r="G6">
        <v>52.47</v>
      </c>
      <c r="H6">
        <v>84.62</v>
      </c>
    </row>
    <row r="7" spans="1:8" x14ac:dyDescent="0.15">
      <c r="A7" s="13" t="s">
        <v>21</v>
      </c>
      <c r="B7">
        <v>31.11</v>
      </c>
      <c r="G7">
        <v>10.3</v>
      </c>
      <c r="H7">
        <v>41.41</v>
      </c>
    </row>
    <row r="8" spans="1:8" x14ac:dyDescent="0.15">
      <c r="A8" s="13" t="s">
        <v>24</v>
      </c>
      <c r="B8">
        <v>53.1</v>
      </c>
      <c r="C8">
        <v>92.42</v>
      </c>
      <c r="E8">
        <v>108</v>
      </c>
      <c r="F8">
        <v>47.7</v>
      </c>
      <c r="G8">
        <v>26.03</v>
      </c>
      <c r="H8">
        <v>327.25</v>
      </c>
    </row>
    <row r="9" spans="1:8" x14ac:dyDescent="0.15">
      <c r="A9" s="13" t="s">
        <v>32</v>
      </c>
      <c r="C9">
        <v>23.31</v>
      </c>
      <c r="E9">
        <v>140.12</v>
      </c>
      <c r="H9">
        <v>163.43</v>
      </c>
    </row>
    <row r="10" spans="1:8" x14ac:dyDescent="0.15">
      <c r="A10" s="13" t="s">
        <v>35</v>
      </c>
      <c r="B10">
        <v>92.48</v>
      </c>
      <c r="C10">
        <v>35.130000000000003</v>
      </c>
      <c r="E10">
        <v>52.16</v>
      </c>
      <c r="H10">
        <v>179.77</v>
      </c>
    </row>
    <row r="11" spans="1:8" x14ac:dyDescent="0.15">
      <c r="A11" s="13" t="s">
        <v>40</v>
      </c>
      <c r="B11">
        <v>35.71</v>
      </c>
      <c r="H11">
        <v>35.71</v>
      </c>
    </row>
    <row r="12" spans="1:8" x14ac:dyDescent="0.15">
      <c r="A12" s="13" t="s">
        <v>43</v>
      </c>
      <c r="D12">
        <v>113.1</v>
      </c>
      <c r="G12">
        <v>55.1</v>
      </c>
      <c r="H12">
        <v>168.2</v>
      </c>
    </row>
    <row r="13" spans="1:8" x14ac:dyDescent="0.15">
      <c r="A13" s="13" t="s">
        <v>46</v>
      </c>
      <c r="B13">
        <v>2.64</v>
      </c>
      <c r="D13">
        <v>99.64</v>
      </c>
      <c r="H13">
        <v>102.28</v>
      </c>
    </row>
    <row r="14" spans="1:8" x14ac:dyDescent="0.15">
      <c r="A14" s="13" t="s">
        <v>48</v>
      </c>
      <c r="F14">
        <v>66.98</v>
      </c>
      <c r="H14">
        <v>66.98</v>
      </c>
    </row>
    <row r="15" spans="1:8" x14ac:dyDescent="0.15">
      <c r="A15" s="13" t="s">
        <v>49</v>
      </c>
      <c r="D15">
        <v>139.11000000000001</v>
      </c>
      <c r="H15">
        <v>139.11000000000001</v>
      </c>
    </row>
    <row r="16" spans="1:8" x14ac:dyDescent="0.15">
      <c r="A16" s="13" t="s">
        <v>58</v>
      </c>
      <c r="B16">
        <v>247.19</v>
      </c>
      <c r="C16">
        <v>188.9</v>
      </c>
      <c r="D16">
        <v>351.85</v>
      </c>
      <c r="E16">
        <v>551.13</v>
      </c>
      <c r="F16">
        <v>114.68</v>
      </c>
      <c r="G16">
        <v>143.9</v>
      </c>
      <c r="H16">
        <v>1597.65</v>
      </c>
    </row>
    <row r="18" spans="1:1" x14ac:dyDescent="0.15">
      <c r="A18" s="13"/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Food E-commerce Plant Based</vt:lpstr>
      <vt:lpstr>Città</vt:lpstr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lorenzo d'angeli</cp:lastModifiedBy>
  <dcterms:created xsi:type="dcterms:W3CDTF">2026-07-02T16:06:58Z</dcterms:created>
  <dcterms:modified xsi:type="dcterms:W3CDTF">2026-07-02T16:19:43Z</dcterms:modified>
</cp:coreProperties>
</file>